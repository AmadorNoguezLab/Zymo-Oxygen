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"/>
    </mc:Choice>
  </mc:AlternateContent>
  <bookViews>
    <workbookView xWindow="0" yWindow="0" windowWidth="18765" windowHeight="8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18" i="1" l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2" i="1" l="1"/>
  <c r="A11" i="1"/>
  <c r="A10" i="1"/>
  <c r="A9" i="1"/>
</calcChain>
</file>

<file path=xl/sharedStrings.xml><?xml version="1.0" encoding="utf-8"?>
<sst xmlns="http://schemas.openxmlformats.org/spreadsheetml/2006/main" count="45" uniqueCount="42">
  <si>
    <t>cMEPP</t>
  </si>
  <si>
    <t>1-25uM_cMEPP</t>
  </si>
  <si>
    <t>2-5uM_cMEPP</t>
  </si>
  <si>
    <t>10uM_cMEPP</t>
  </si>
  <si>
    <t>C12 PARENT</t>
  </si>
  <si>
    <t>5uM_cMEPP</t>
  </si>
  <si>
    <t>1-25uM_cMEPP_rep</t>
  </si>
  <si>
    <t>2-5uM_cMEPP_rep</t>
  </si>
  <si>
    <t>10uM_cMEPP_rep</t>
  </si>
  <si>
    <t>O2_0_A_X</t>
  </si>
  <si>
    <t>O2_5_A_X</t>
  </si>
  <si>
    <t>O2_10_A_X</t>
  </si>
  <si>
    <t>O2_15_A_X</t>
  </si>
  <si>
    <t>O2_30_A_X</t>
  </si>
  <si>
    <t>O2_45_A_X</t>
  </si>
  <si>
    <t>O2_60_A_X</t>
  </si>
  <si>
    <t>O2_120_A_X</t>
  </si>
  <si>
    <t>O2_0_B_X</t>
  </si>
  <si>
    <t>O2_5_B_X</t>
  </si>
  <si>
    <t>O2_10_B_X</t>
  </si>
  <si>
    <t>O2_15_B_X</t>
  </si>
  <si>
    <t>O2_30_B_X</t>
  </si>
  <si>
    <t>O2_45_B_X</t>
  </si>
  <si>
    <t>O2_60_B_X</t>
  </si>
  <si>
    <t>O2_120_B_X</t>
  </si>
  <si>
    <t>O2_0_C_X</t>
  </si>
  <si>
    <t>O2_5_C_X</t>
  </si>
  <si>
    <t>O2_10_C_X</t>
  </si>
  <si>
    <t>O2_15_C_X</t>
  </si>
  <si>
    <t>O2_30_C_X</t>
  </si>
  <si>
    <t>O2_45_C_X</t>
  </si>
  <si>
    <t>O2_60_C_X</t>
  </si>
  <si>
    <t>O2_120_C_X</t>
  </si>
  <si>
    <t>An_0_A_X</t>
  </si>
  <si>
    <t>An_30_A_X</t>
  </si>
  <si>
    <t>An_60_A_X</t>
  </si>
  <si>
    <t>An_120_A_X</t>
  </si>
  <si>
    <t>An_0_B_X</t>
  </si>
  <si>
    <t>An_30_B_X</t>
  </si>
  <si>
    <t>An_60_B_X</t>
  </si>
  <si>
    <t>An_120_B_X</t>
  </si>
  <si>
    <t>values multiplied by 10 to account for 10x dilution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</si>
</sst>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MEcDP calibration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8.0741032370953633E-2"/>
                  <c:y val="-0.19671223388743073"/>
                </c:manualLayout>
              </c:layout>
              <c:numFmt formatCode="#,##0.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Sheet1!$A$9:$A$12</c:f>
              <c:numCache>
                <c:formatCode>General</c:formatCode>
                <c:ptCount val="4"/>
                <c:pt idx="0">
                  <c:v>8153829</c:v>
                </c:pt>
                <c:pt idx="1">
                  <c:v>16282191.5</c:v>
                </c:pt>
                <c:pt idx="2">
                  <c:v>36085872</c:v>
                </c:pt>
                <c:pt idx="3">
                  <c:v>73107528</c:v>
                </c:pt>
              </c:numCache>
            </c:numRef>
          </c:xVal>
          <c:yVal>
            <c:numRef>
              <c:f>Sheet1!$B$9:$B$12</c:f>
              <c:numCache>
                <c:formatCode>General</c:formatCode>
                <c:ptCount val="4"/>
                <c:pt idx="0">
                  <c:v>1.25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7-4381-B2BE-E0CB74CB8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503327"/>
        <c:axId val="340503743"/>
      </c:scatterChart>
      <c:valAx>
        <c:axId val="34050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 intensity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03743"/>
        <c:crosses val="autoZero"/>
        <c:crossBetween val="midCat"/>
      </c:valAx>
      <c:valAx>
        <c:axId val="34050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MEcDP</a:t>
                </a:r>
                <a:r>
                  <a:rPr lang="en-US" baseline="0"/>
                  <a:t> concentration (uM)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50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375269</xdr:colOff>
      <xdr:row>2</xdr:row>
      <xdr:rowOff>188085</xdr:rowOff>
    </xdr:from>
    <xdr:to>
      <xdr:col>9</xdr:col>
      <xdr:colOff>180975</xdr:colOff>
      <xdr:row>14</xdr:row>
      <xdr:rowOff>167585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"/>
  <sheetViews>
    <sheetView tabSelected="1" zoomScaleNormal="100" workbookViewId="0">
      <selection activeCell="H23" sqref="H23"/>
    </sheetView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6</v>
      </c>
      <c r="D1" t="s">
        <v>2</v>
      </c>
      <c r="E1" t="s">
        <v>7</v>
      </c>
      <c r="F1" t="s">
        <v>5</v>
      </c>
      <c r="G1" t="s">
        <v>3</v>
      </c>
      <c r="H1" t="s">
        <v>8</v>
      </c>
    </row>
    <row r="2" spans="1:33" x14ac:dyDescent="0.25">
      <c r="A2" t="s">
        <v>4</v>
      </c>
      <c r="B2">
        <v>8106653.5</v>
      </c>
      <c r="C2">
        <v>8201004.5</v>
      </c>
      <c r="D2">
        <v>16632760</v>
      </c>
      <c r="E2">
        <v>15931623</v>
      </c>
      <c r="F2">
        <v>36085872</v>
      </c>
      <c r="G2">
        <v>73952088</v>
      </c>
      <c r="H2">
        <v>72262968</v>
      </c>
    </row>
    <row r="9" spans="1:33" x14ac:dyDescent="0.25">
      <c r="A9">
        <f>AVERAGE(B2,C2)</f>
        <v>8153829</v>
      </c>
      <c r="B9">
        <v>1.25</v>
      </c>
    </row>
    <row r="10" spans="1:33" x14ac:dyDescent="0.25">
      <c r="A10">
        <f>AVERAGE(D2,E2)</f>
        <v>16282191.5</v>
      </c>
      <c r="B10">
        <v>2.5</v>
      </c>
    </row>
    <row r="11" spans="1:33" x14ac:dyDescent="0.25">
      <c r="A11">
        <f>F2</f>
        <v>36085872</v>
      </c>
      <c r="B11">
        <v>5</v>
      </c>
    </row>
    <row r="12" spans="1:33" x14ac:dyDescent="0.25">
      <c r="A12">
        <f>AVERAGE(G2,H2)</f>
        <v>73107528</v>
      </c>
      <c r="B12">
        <v>10</v>
      </c>
    </row>
    <row r="16" spans="1:33" x14ac:dyDescent="0.25">
      <c r="A16" t="s">
        <v>0</v>
      </c>
      <c r="B16" t="s">
        <v>9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t="s">
        <v>17</v>
      </c>
      <c r="K16" t="s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 t="s">
        <v>24</v>
      </c>
      <c r="R16" t="s">
        <v>25</v>
      </c>
      <c r="S16" t="s">
        <v>26</v>
      </c>
      <c r="T16" t="s">
        <v>27</v>
      </c>
      <c r="U16" t="s">
        <v>28</v>
      </c>
      <c r="V16" t="s">
        <v>29</v>
      </c>
      <c r="W16" t="s">
        <v>30</v>
      </c>
      <c r="X16" t="s">
        <v>31</v>
      </c>
      <c r="Y16" t="s">
        <v>32</v>
      </c>
      <c r="Z16" t="s">
        <v>33</v>
      </c>
      <c r="AA16" t="s">
        <v>34</v>
      </c>
      <c r="AB16" t="s">
        <v>35</v>
      </c>
      <c r="AC16" t="s">
        <v>36</v>
      </c>
      <c r="AD16" t="s">
        <v>37</v>
      </c>
      <c r="AE16" t="s">
        <v>38</v>
      </c>
      <c r="AF16" t="s">
        <v>39</v>
      </c>
      <c r="AG16" t="s">
        <v>40</v>
      </c>
    </row>
    <row r="17" spans="1:33" x14ac:dyDescent="0.25">
      <c r="A17" t="s">
        <v>4</v>
      </c>
      <c r="B17">
        <v>102666.97</v>
      </c>
      <c r="C17">
        <v>212113.8</v>
      </c>
      <c r="D17">
        <v>188963.39</v>
      </c>
      <c r="E17">
        <v>553731.43999999994</v>
      </c>
      <c r="F17">
        <v>1436245</v>
      </c>
      <c r="G17">
        <v>1648939.38</v>
      </c>
      <c r="H17">
        <v>1600073.5</v>
      </c>
      <c r="I17">
        <v>1637261.38</v>
      </c>
      <c r="J17">
        <v>70675</v>
      </c>
      <c r="K17">
        <v>197131.94</v>
      </c>
      <c r="L17">
        <v>217665.19</v>
      </c>
      <c r="M17">
        <v>397348.62</v>
      </c>
      <c r="N17">
        <v>886262.31</v>
      </c>
      <c r="O17">
        <v>1056283.8799999999</v>
      </c>
      <c r="P17">
        <v>1122691.8799999999</v>
      </c>
      <c r="Q17">
        <v>1310978.5</v>
      </c>
      <c r="R17">
        <v>61189.48</v>
      </c>
      <c r="S17">
        <v>112240.84</v>
      </c>
      <c r="T17">
        <v>312199.59000000003</v>
      </c>
      <c r="U17">
        <v>450283.12</v>
      </c>
      <c r="V17">
        <v>1193606</v>
      </c>
      <c r="W17">
        <v>1196734.5</v>
      </c>
      <c r="X17">
        <v>1369224.12</v>
      </c>
      <c r="Y17">
        <v>1281739.5</v>
      </c>
      <c r="Z17">
        <v>53981.73</v>
      </c>
      <c r="AA17">
        <v>69503.539999999994</v>
      </c>
      <c r="AB17">
        <v>96185.05</v>
      </c>
      <c r="AC17">
        <v>141082.48000000001</v>
      </c>
      <c r="AD17">
        <v>73876.52</v>
      </c>
      <c r="AE17">
        <v>91119.55</v>
      </c>
      <c r="AF17">
        <v>91199.55</v>
      </c>
      <c r="AG17">
        <v>108775.66</v>
      </c>
    </row>
    <row r="18" spans="1:33" x14ac:dyDescent="0.25">
      <c r="A18" t="s">
        <v>4</v>
      </c>
      <c r="B18">
        <f>0.000000138*B17*10</f>
        <v>0.1416804186</v>
      </c>
      <c r="C18">
        <f t="shared" ref="C18:AG18" si="0">0.000000138*C17*10</f>
        <v>0.29271704399999998</v>
      </c>
      <c r="D18">
        <f t="shared" si="0"/>
        <v>0.26076947820000002</v>
      </c>
      <c r="E18">
        <f t="shared" si="0"/>
        <v>0.76414938719999992</v>
      </c>
      <c r="F18">
        <f t="shared" si="0"/>
        <v>1.9820180999999999</v>
      </c>
      <c r="G18">
        <f t="shared" si="0"/>
        <v>2.2755363443999994</v>
      </c>
      <c r="H18">
        <f t="shared" si="0"/>
        <v>2.2081014299999997</v>
      </c>
      <c r="I18">
        <f t="shared" si="0"/>
        <v>2.2594207043999996</v>
      </c>
      <c r="J18">
        <f t="shared" si="0"/>
        <v>9.7531499999999993E-2</v>
      </c>
      <c r="K18">
        <f t="shared" si="0"/>
        <v>0.27204207719999995</v>
      </c>
      <c r="L18">
        <f t="shared" si="0"/>
        <v>0.30037796220000001</v>
      </c>
      <c r="M18">
        <f t="shared" si="0"/>
        <v>0.54834109559999999</v>
      </c>
      <c r="N18">
        <f t="shared" si="0"/>
        <v>1.2230419878000001</v>
      </c>
      <c r="O18">
        <f t="shared" si="0"/>
        <v>1.4576717543999997</v>
      </c>
      <c r="P18">
        <f t="shared" si="0"/>
        <v>1.5493147943999996</v>
      </c>
      <c r="Q18">
        <f t="shared" si="0"/>
        <v>1.80915033</v>
      </c>
      <c r="R18">
        <f t="shared" si="0"/>
        <v>8.444148239999999E-2</v>
      </c>
      <c r="S18">
        <f t="shared" si="0"/>
        <v>0.1548923592</v>
      </c>
      <c r="T18">
        <f t="shared" si="0"/>
        <v>0.43083543420000003</v>
      </c>
      <c r="U18">
        <f t="shared" si="0"/>
        <v>0.62139070559999998</v>
      </c>
      <c r="V18">
        <f t="shared" si="0"/>
        <v>1.6471762799999998</v>
      </c>
      <c r="W18">
        <f t="shared" si="0"/>
        <v>1.6514936099999999</v>
      </c>
      <c r="X18">
        <f t="shared" si="0"/>
        <v>1.8895292856000001</v>
      </c>
      <c r="Y18">
        <f t="shared" si="0"/>
        <v>1.7688005099999997</v>
      </c>
      <c r="Z18">
        <f t="shared" si="0"/>
        <v>7.4494787399999998E-2</v>
      </c>
      <c r="AA18">
        <f t="shared" si="0"/>
        <v>9.591488519999998E-2</v>
      </c>
      <c r="AB18">
        <f t="shared" si="0"/>
        <v>0.13273536899999999</v>
      </c>
      <c r="AC18">
        <f t="shared" si="0"/>
        <v>0.19469382239999999</v>
      </c>
      <c r="AD18">
        <f t="shared" si="0"/>
        <v>0.1019495976</v>
      </c>
      <c r="AE18">
        <f t="shared" si="0"/>
        <v>0.12574497900000001</v>
      </c>
      <c r="AF18">
        <f t="shared" si="0"/>
        <v>0.12585537899999999</v>
      </c>
      <c r="AG18">
        <f t="shared" si="0"/>
        <v>0.15011041079999998</v>
      </c>
    </row>
    <row r="20" spans="1:33" x14ac:dyDescent="0.25">
      <c r="B20" t="s">
        <v>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2019-01-25T19:41:11Z</dcterms:created>
  <dcterms:modified xsi:type="dcterms:W3CDTF">2019-01-25T19:55:31Z</dcterms:modified>
</cp:coreProperties>
</file>