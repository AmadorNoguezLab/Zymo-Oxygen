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ador-Noguez Lab\Desktop\Oxygen Paper\GitHub\"/>
    </mc:Choice>
  </mc:AlternateContent>
  <bookViews>
    <workbookView xWindow="0" yWindow="0" windowWidth="18765" windowHeight="80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15" i="1" l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K7" i="1"/>
  <c r="J7" i="1"/>
  <c r="K6" i="1"/>
  <c r="J6" i="1"/>
  <c r="K5" i="1"/>
  <c r="J5" i="1"/>
  <c r="C9" i="1"/>
  <c r="B9" i="1"/>
  <c r="D8" i="1"/>
  <c r="D9" i="1" s="1"/>
  <c r="C8" i="1"/>
  <c r="B8" i="1"/>
</calcChain>
</file>

<file path=xl/sharedStrings.xml><?xml version="1.0" encoding="utf-8"?>
<sst xmlns="http://schemas.openxmlformats.org/spreadsheetml/2006/main" count="49" uniqueCount="48">
  <si>
    <t>Gluconate</t>
  </si>
  <si>
    <t>C12 PARENT</t>
  </si>
  <si>
    <t>C13-label-1</t>
  </si>
  <si>
    <t>C13-label-3</t>
  </si>
  <si>
    <t>C13-label-5</t>
  </si>
  <si>
    <t>C13-label-6</t>
  </si>
  <si>
    <t>12C/13C</t>
  </si>
  <si>
    <t>to get mM, divide by 10</t>
  </si>
  <si>
    <t>O2_0_B</t>
  </si>
  <si>
    <t>O2_30_B</t>
  </si>
  <si>
    <t>O2_60_B</t>
  </si>
  <si>
    <t>signal</t>
  </si>
  <si>
    <t>mM</t>
  </si>
  <si>
    <t>O2_0_A_X</t>
  </si>
  <si>
    <t>O2_5_A_X</t>
  </si>
  <si>
    <t>O2_10_A_X</t>
  </si>
  <si>
    <t>O2_15_A_X</t>
  </si>
  <si>
    <t>O2_30_A_X</t>
  </si>
  <si>
    <t>O2_45_A_X</t>
  </si>
  <si>
    <t>O2_60_A_X</t>
  </si>
  <si>
    <t>O2_120_A_X</t>
  </si>
  <si>
    <t>O2_0_B_X</t>
  </si>
  <si>
    <t>O2_5_B_X</t>
  </si>
  <si>
    <t>O2_10_B_X</t>
  </si>
  <si>
    <t>O2_15_B_X</t>
  </si>
  <si>
    <t>O2_30_B_X</t>
  </si>
  <si>
    <t>O2_45_B_X</t>
  </si>
  <si>
    <t>O2_60_B_X</t>
  </si>
  <si>
    <t>O2_120_B_X</t>
  </si>
  <si>
    <t>O2_0_C_X</t>
  </si>
  <si>
    <t>O2_5_C_X</t>
  </si>
  <si>
    <t>O2_10_C_X</t>
  </si>
  <si>
    <t>O2_15_C_X</t>
  </si>
  <si>
    <t>O2_30_C_X</t>
  </si>
  <si>
    <t>O2_45_C_X</t>
  </si>
  <si>
    <t>O2_60_C_X</t>
  </si>
  <si>
    <t>O2_120_C_X</t>
  </si>
  <si>
    <t>An_0_A_X</t>
  </si>
  <si>
    <t>An_30_A_X</t>
  </si>
  <si>
    <t>An_60_A_X</t>
  </si>
  <si>
    <t>An_120_A_X</t>
  </si>
  <si>
    <t>An_0_B_X</t>
  </si>
  <si>
    <t>An_30_B_X</t>
  </si>
  <si>
    <t>An_60_B_X</t>
  </si>
  <si>
    <t>An_120_B_X</t>
  </si>
  <si>
    <t>Signal Intensity</t>
  </si>
  <si>
    <t>concentration (mM)</t>
  </si>
  <si>
    <t>&lt;- samples mixed 1:1 with 0.1 mM U-13C gluconate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</si>
</sst>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gluconate</a:t>
            </a:r>
          </a:p>
        </c:rich>
      </c:tx>
      <c:layout>
        <c:manualLayout>
          <c:xMode val="edge"/>
          <c:yMode val="edge"/>
          <c:x val="0.25452654211581482"/>
          <c:y val="3.74531835205992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Sheet1!$K$4</c:f>
              <c:strCache>
                <c:ptCount val="1"/>
                <c:pt idx="0">
                  <c:v>mM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0.23797464431337226"/>
                  <c:y val="-0.29176855702026011"/>
                </c:manualLayout>
              </c:layout>
              <c:numFmt formatCode="#,##0.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Sheet1!$J$5:$J$7</c:f>
              <c:numCache>
                <c:formatCode>General</c:formatCode>
                <c:ptCount val="3"/>
                <c:pt idx="0">
                  <c:v>2084051.38</c:v>
                </c:pt>
                <c:pt idx="1">
                  <c:v>18258594</c:v>
                </c:pt>
                <c:pt idx="2">
                  <c:v>52113436</c:v>
                </c:pt>
              </c:numCache>
            </c:numRef>
          </c:xVal>
          <c:yVal>
            <c:numRef>
              <c:f>Sheet1!$K$5:$K$7</c:f>
              <c:numCache>
                <c:formatCode>General</c:formatCode>
                <c:ptCount val="3"/>
                <c:pt idx="0">
                  <c:v>2.6395607537455817E-2</c:v>
                </c:pt>
                <c:pt idx="1">
                  <c:v>0.15211884947013504</c:v>
                </c:pt>
                <c:pt idx="2">
                  <c:v>0.27654557747273173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0F-4B97-95E3-5B03D27B2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0026303"/>
        <c:axId val="280022143"/>
      </c:scatterChart>
      <c:valAx>
        <c:axId val="280026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signal intensity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022143"/>
        <c:crosses val="autoZero"/>
        <c:crossBetween val="midCat"/>
      </c:valAx>
      <c:valAx>
        <c:axId val="280022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 (mM)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026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1</xdr:row>
      <xdr:rowOff>114300</xdr:rowOff>
    </xdr:from>
    <xdr:to>
      <xdr:col>8</xdr:col>
      <xdr:colOff>304800</xdr:colOff>
      <xdr:row>9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"/>
  <sheetViews>
    <sheetView tabSelected="1" workbookViewId="0">
      <selection activeCell="B8" sqref="B8"/>
    </sheetView>
  </sheetViews>
  <sheetFormatPr defaultRowHeight="15" x14ac:dyDescent="0.25"/>
  <cols>
    <col min="1" max="1" width="12.140625" customWidth="1"/>
  </cols>
  <sheetData>
    <row r="1" spans="1:33" x14ac:dyDescent="0.25">
      <c r="A1" t="s">
        <v>0</v>
      </c>
      <c r="B1" t="s">
        <v>8</v>
      </c>
      <c r="C1" t="s">
        <v>9</v>
      </c>
      <c r="D1" t="s">
        <v>10</v>
      </c>
      <c r="F1" t="s">
        <v>47</v>
      </c>
    </row>
    <row r="2" spans="1:33" x14ac:dyDescent="0.25">
      <c r="A2" t="s">
        <v>1</v>
      </c>
      <c r="B2">
        <v>2557316</v>
      </c>
      <c r="C2">
        <v>15825397</v>
      </c>
      <c r="D2">
        <v>31069962</v>
      </c>
    </row>
    <row r="3" spans="1:33" x14ac:dyDescent="0.25">
      <c r="A3" t="s">
        <v>2</v>
      </c>
      <c r="B3">
        <v>179615.08</v>
      </c>
      <c r="C3">
        <v>1062811.6200000001</v>
      </c>
      <c r="D3">
        <v>2086614.12</v>
      </c>
    </row>
    <row r="4" spans="1:33" x14ac:dyDescent="0.25">
      <c r="A4" t="s">
        <v>3</v>
      </c>
      <c r="B4">
        <v>0</v>
      </c>
      <c r="C4">
        <v>8286.36</v>
      </c>
      <c r="D4">
        <v>22248.55</v>
      </c>
      <c r="J4" t="s">
        <v>11</v>
      </c>
      <c r="K4" t="s">
        <v>12</v>
      </c>
    </row>
    <row r="5" spans="1:33" x14ac:dyDescent="0.25">
      <c r="A5" t="s">
        <v>4</v>
      </c>
      <c r="B5">
        <v>297740.96999999997</v>
      </c>
      <c r="C5">
        <v>310675.21999999997</v>
      </c>
      <c r="D5">
        <v>350883.75</v>
      </c>
      <c r="J5">
        <f>J14</f>
        <v>2084051.38</v>
      </c>
      <c r="K5">
        <f>B9</f>
        <v>2.6395607537455817E-2</v>
      </c>
    </row>
    <row r="6" spans="1:33" x14ac:dyDescent="0.25">
      <c r="A6" t="s">
        <v>5</v>
      </c>
      <c r="B6">
        <v>9688415</v>
      </c>
      <c r="C6">
        <v>10403311</v>
      </c>
      <c r="D6">
        <v>11235024</v>
      </c>
      <c r="J6">
        <f>N14</f>
        <v>18258594</v>
      </c>
      <c r="K6">
        <f>C9</f>
        <v>0.15211884947013504</v>
      </c>
    </row>
    <row r="7" spans="1:33" x14ac:dyDescent="0.25">
      <c r="J7">
        <f>P14</f>
        <v>52113436</v>
      </c>
      <c r="K7">
        <f>D9</f>
        <v>0.27654557747273173</v>
      </c>
    </row>
    <row r="8" spans="1:33" x14ac:dyDescent="0.25">
      <c r="A8" t="s">
        <v>6</v>
      </c>
      <c r="B8">
        <f>B2/B6</f>
        <v>0.26395607537455817</v>
      </c>
      <c r="C8">
        <f t="shared" ref="C8:D8" si="0">C2/C6</f>
        <v>1.5211884947013503</v>
      </c>
      <c r="D8">
        <f t="shared" si="0"/>
        <v>2.7654557747273172</v>
      </c>
    </row>
    <row r="9" spans="1:33" ht="33.75" customHeight="1" x14ac:dyDescent="0.25">
      <c r="A9" s="1" t="s">
        <v>7</v>
      </c>
      <c r="B9">
        <f>B8/10</f>
        <v>2.6395607537455817E-2</v>
      </c>
      <c r="C9">
        <f t="shared" ref="C9:D9" si="1">C8/10</f>
        <v>0.15211884947013504</v>
      </c>
      <c r="D9">
        <f t="shared" si="1"/>
        <v>0.27654557747273173</v>
      </c>
    </row>
    <row r="13" spans="1:33" x14ac:dyDescent="0.25">
      <c r="A13" t="s">
        <v>0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 t="s">
        <v>20</v>
      </c>
      <c r="J13" t="s">
        <v>21</v>
      </c>
      <c r="K13" t="s">
        <v>22</v>
      </c>
      <c r="L13" t="s">
        <v>23</v>
      </c>
      <c r="M13" t="s">
        <v>24</v>
      </c>
      <c r="N13" t="s">
        <v>25</v>
      </c>
      <c r="O13" t="s">
        <v>26</v>
      </c>
      <c r="P13" t="s">
        <v>27</v>
      </c>
      <c r="Q13" t="s">
        <v>28</v>
      </c>
      <c r="R13" t="s">
        <v>29</v>
      </c>
      <c r="S13" t="s">
        <v>30</v>
      </c>
      <c r="T13" t="s">
        <v>31</v>
      </c>
      <c r="U13" t="s">
        <v>32</v>
      </c>
      <c r="V13" t="s">
        <v>33</v>
      </c>
      <c r="W13" t="s">
        <v>34</v>
      </c>
      <c r="X13" t="s">
        <v>35</v>
      </c>
      <c r="Y13" t="s">
        <v>36</v>
      </c>
      <c r="Z13" t="s">
        <v>37</v>
      </c>
      <c r="AA13" t="s">
        <v>38</v>
      </c>
      <c r="AB13" t="s">
        <v>39</v>
      </c>
      <c r="AC13" t="s">
        <v>40</v>
      </c>
      <c r="AD13" t="s">
        <v>41</v>
      </c>
      <c r="AE13" t="s">
        <v>42</v>
      </c>
      <c r="AF13" t="s">
        <v>43</v>
      </c>
      <c r="AG13" t="s">
        <v>44</v>
      </c>
    </row>
    <row r="14" spans="1:33" x14ac:dyDescent="0.25">
      <c r="A14" t="s">
        <v>45</v>
      </c>
      <c r="B14">
        <v>3599703.25</v>
      </c>
      <c r="C14">
        <v>4756608</v>
      </c>
      <c r="D14">
        <v>5813731.5</v>
      </c>
      <c r="E14">
        <v>9853932</v>
      </c>
      <c r="F14">
        <v>17481024</v>
      </c>
      <c r="G14">
        <v>32161632</v>
      </c>
      <c r="H14">
        <v>39711020</v>
      </c>
      <c r="I14">
        <v>203224576</v>
      </c>
      <c r="J14">
        <v>2084051.38</v>
      </c>
      <c r="K14">
        <v>5155072.5</v>
      </c>
      <c r="L14">
        <v>6572054.5</v>
      </c>
      <c r="M14">
        <v>9232765</v>
      </c>
      <c r="N14">
        <v>18258594</v>
      </c>
      <c r="O14">
        <v>27922762</v>
      </c>
      <c r="P14">
        <v>52113436</v>
      </c>
      <c r="Q14">
        <v>198541424</v>
      </c>
      <c r="R14">
        <v>1883842.38</v>
      </c>
      <c r="S14">
        <v>3421910</v>
      </c>
      <c r="T14">
        <v>7791272</v>
      </c>
      <c r="U14">
        <v>8755100</v>
      </c>
      <c r="V14">
        <v>24815482</v>
      </c>
      <c r="W14">
        <v>27000032</v>
      </c>
      <c r="X14">
        <v>41363744</v>
      </c>
      <c r="Y14">
        <v>208053312</v>
      </c>
      <c r="Z14">
        <v>2696084.5</v>
      </c>
      <c r="AA14">
        <v>1572491.38</v>
      </c>
      <c r="AB14">
        <v>3726157.75</v>
      </c>
      <c r="AC14">
        <v>1917500.38</v>
      </c>
      <c r="AD14">
        <v>5908198.5</v>
      </c>
      <c r="AE14">
        <v>3270924</v>
      </c>
      <c r="AF14">
        <v>2022554</v>
      </c>
      <c r="AG14">
        <v>3404694</v>
      </c>
    </row>
    <row r="15" spans="1:33" x14ac:dyDescent="0.25">
      <c r="A15" t="s">
        <v>46</v>
      </c>
      <c r="B15">
        <f>B14*0.0000000056</f>
        <v>2.0158338200000001E-2</v>
      </c>
      <c r="C15">
        <f t="shared" ref="C15:AG15" si="2">C14*0.0000000056</f>
        <v>2.6637004799999999E-2</v>
      </c>
      <c r="D15">
        <f t="shared" si="2"/>
        <v>3.25568964E-2</v>
      </c>
      <c r="E15">
        <f t="shared" si="2"/>
        <v>5.5182019199999995E-2</v>
      </c>
      <c r="F15">
        <f t="shared" si="2"/>
        <v>9.7893734399999988E-2</v>
      </c>
      <c r="G15">
        <f t="shared" si="2"/>
        <v>0.18010513919999999</v>
      </c>
      <c r="H15">
        <f t="shared" si="2"/>
        <v>0.22238171199999998</v>
      </c>
      <c r="I15">
        <f t="shared" si="2"/>
        <v>1.1380576255999999</v>
      </c>
      <c r="J15">
        <f t="shared" si="2"/>
        <v>1.1670687727999998E-2</v>
      </c>
      <c r="K15">
        <f t="shared" si="2"/>
        <v>2.8868405999999999E-2</v>
      </c>
      <c r="L15">
        <f t="shared" si="2"/>
        <v>3.6803505199999996E-2</v>
      </c>
      <c r="M15">
        <f t="shared" si="2"/>
        <v>5.1703483999999994E-2</v>
      </c>
      <c r="N15">
        <f t="shared" si="2"/>
        <v>0.1022481264</v>
      </c>
      <c r="O15">
        <f t="shared" si="2"/>
        <v>0.1563674672</v>
      </c>
      <c r="P15">
        <f t="shared" si="2"/>
        <v>0.29183524159999996</v>
      </c>
      <c r="Q15">
        <f t="shared" si="2"/>
        <v>1.1118319744</v>
      </c>
      <c r="R15">
        <f t="shared" si="2"/>
        <v>1.0549517327999998E-2</v>
      </c>
      <c r="S15">
        <f t="shared" si="2"/>
        <v>1.9162696E-2</v>
      </c>
      <c r="T15">
        <f t="shared" si="2"/>
        <v>4.3631123199999997E-2</v>
      </c>
      <c r="U15">
        <f t="shared" si="2"/>
        <v>4.9028559999999999E-2</v>
      </c>
      <c r="V15">
        <f t="shared" si="2"/>
        <v>0.13896669919999999</v>
      </c>
      <c r="W15">
        <f t="shared" si="2"/>
        <v>0.15120017919999998</v>
      </c>
      <c r="X15">
        <f t="shared" si="2"/>
        <v>0.23163696639999998</v>
      </c>
      <c r="Y15">
        <f t="shared" si="2"/>
        <v>1.1650985471999999</v>
      </c>
      <c r="Z15">
        <f t="shared" si="2"/>
        <v>1.5098073199999999E-2</v>
      </c>
      <c r="AA15">
        <f t="shared" si="2"/>
        <v>8.8059517279999982E-3</v>
      </c>
      <c r="AB15">
        <f t="shared" si="2"/>
        <v>2.08664834E-2</v>
      </c>
      <c r="AC15">
        <f t="shared" si="2"/>
        <v>1.0738002127999999E-2</v>
      </c>
      <c r="AD15">
        <f t="shared" si="2"/>
        <v>3.3085911599999997E-2</v>
      </c>
      <c r="AE15">
        <f t="shared" si="2"/>
        <v>1.83171744E-2</v>
      </c>
      <c r="AF15">
        <f t="shared" si="2"/>
        <v>1.13263024E-2</v>
      </c>
      <c r="AG15">
        <f t="shared" si="2"/>
        <v>1.90662864E-2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Amador-Noguez Lab</dc:creator>
  <cp:lastModifiedBy>Amador-Noguez Lab</cp:lastModifiedBy>
  <dcterms:created xsi:type="dcterms:W3CDTF">2019-01-25T19:48:37Z</dcterms:created>
  <dcterms:modified xsi:type="dcterms:W3CDTF">2019-01-25T19:58:45Z</dcterms:modified>
</cp:coreProperties>
</file>