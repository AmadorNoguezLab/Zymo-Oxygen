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ador-Noguez Lab\Desktop\Oxygen Paper\GitHub\"/>
    </mc:Choice>
  </mc:AlternateContent>
  <bookViews>
    <workbookView xWindow="0" yWindow="0" windowWidth="27480" windowHeight="11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1" i="1" l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B31" i="1"/>
  <c r="B29" i="1"/>
  <c r="C29" i="1"/>
  <c r="D29" i="1"/>
  <c r="D30" i="1" s="1"/>
  <c r="E29" i="1"/>
  <c r="F29" i="1"/>
  <c r="G29" i="1"/>
  <c r="H29" i="1"/>
  <c r="I29" i="1"/>
  <c r="J29" i="1"/>
  <c r="J30" i="1" s="1"/>
  <c r="K29" i="1"/>
  <c r="L29" i="1"/>
  <c r="L30" i="1" s="1"/>
  <c r="M29" i="1"/>
  <c r="M30" i="1" s="1"/>
  <c r="N29" i="1"/>
  <c r="O29" i="1"/>
  <c r="P29" i="1"/>
  <c r="P30" i="1" s="1"/>
  <c r="Q29" i="1"/>
  <c r="R29" i="1"/>
  <c r="S29" i="1"/>
  <c r="S30" i="1" s="1"/>
  <c r="T29" i="1"/>
  <c r="U29" i="1"/>
  <c r="V29" i="1"/>
  <c r="V30" i="1" s="1"/>
  <c r="W29" i="1"/>
  <c r="X29" i="1"/>
  <c r="X30" i="1" s="1"/>
  <c r="Y29" i="1"/>
  <c r="Y30" i="1" s="1"/>
  <c r="Z29" i="1"/>
  <c r="AA29" i="1"/>
  <c r="AB29" i="1"/>
  <c r="AB30" i="1" s="1"/>
  <c r="AC29" i="1"/>
  <c r="AD29" i="1"/>
  <c r="AE29" i="1"/>
  <c r="AF29" i="1"/>
  <c r="AG29" i="1"/>
  <c r="AH29" i="1"/>
  <c r="AH30" i="1" s="1"/>
  <c r="AI29" i="1"/>
  <c r="AJ29" i="1"/>
  <c r="AJ30" i="1" s="1"/>
  <c r="AK29" i="1"/>
  <c r="AK30" i="1" s="1"/>
  <c r="AL29" i="1"/>
  <c r="AM29" i="1"/>
  <c r="B30" i="1"/>
  <c r="C30" i="1"/>
  <c r="E30" i="1"/>
  <c r="F30" i="1"/>
  <c r="G30" i="1"/>
  <c r="H30" i="1"/>
  <c r="I30" i="1"/>
  <c r="K30" i="1"/>
  <c r="N30" i="1"/>
  <c r="O30" i="1"/>
  <c r="Q30" i="1"/>
  <c r="R30" i="1"/>
  <c r="T30" i="1"/>
  <c r="U30" i="1"/>
  <c r="W30" i="1"/>
  <c r="Z30" i="1"/>
  <c r="AA30" i="1"/>
  <c r="AC30" i="1"/>
  <c r="AD30" i="1"/>
  <c r="AE30" i="1"/>
  <c r="AF30" i="1"/>
  <c r="AG30" i="1"/>
  <c r="AI30" i="1"/>
  <c r="AL30" i="1"/>
  <c r="AM30" i="1"/>
  <c r="Y21" i="1" l="1"/>
  <c r="AA21" i="1"/>
  <c r="AH21" i="1"/>
  <c r="AI21" i="1"/>
  <c r="AJ21" i="1"/>
  <c r="AK21" i="1"/>
  <c r="AL20" i="1"/>
  <c r="AL21" i="1" s="1"/>
  <c r="AK20" i="1"/>
  <c r="AJ20" i="1"/>
  <c r="AI20" i="1"/>
  <c r="AH20" i="1"/>
  <c r="AG20" i="1"/>
  <c r="AG21" i="1" s="1"/>
  <c r="AF20" i="1"/>
  <c r="AF21" i="1" s="1"/>
  <c r="AE20" i="1"/>
  <c r="AE21" i="1" s="1"/>
  <c r="AD20" i="1"/>
  <c r="AD21" i="1" s="1"/>
  <c r="AC20" i="1"/>
  <c r="AC21" i="1" s="1"/>
  <c r="AB20" i="1"/>
  <c r="AB21" i="1" s="1"/>
  <c r="AA20" i="1"/>
  <c r="Z20" i="1"/>
  <c r="Z21" i="1" s="1"/>
  <c r="Y20" i="1"/>
  <c r="X20" i="1"/>
  <c r="X21" i="1" s="1"/>
  <c r="W20" i="1"/>
  <c r="W21" i="1" s="1"/>
  <c r="V20" i="1"/>
  <c r="V21" i="1" s="1"/>
  <c r="U20" i="1"/>
  <c r="U21" i="1" s="1"/>
  <c r="T20" i="1"/>
  <c r="T21" i="1" s="1"/>
  <c r="S20" i="1"/>
  <c r="S21" i="1" s="1"/>
  <c r="R20" i="1"/>
  <c r="R21" i="1" s="1"/>
  <c r="Q20" i="1"/>
  <c r="Q21" i="1" s="1"/>
  <c r="P20" i="1"/>
  <c r="P21" i="1" s="1"/>
  <c r="O20" i="1"/>
  <c r="O21" i="1" s="1"/>
  <c r="N20" i="1"/>
  <c r="N21" i="1" s="1"/>
  <c r="M20" i="1"/>
  <c r="M21" i="1" s="1"/>
  <c r="L20" i="1"/>
  <c r="L21" i="1" s="1"/>
  <c r="K20" i="1"/>
  <c r="K21" i="1" s="1"/>
  <c r="J20" i="1"/>
  <c r="J21" i="1" s="1"/>
  <c r="I20" i="1"/>
  <c r="I21" i="1" s="1"/>
  <c r="H20" i="1"/>
  <c r="H21" i="1" s="1"/>
  <c r="G20" i="1"/>
  <c r="G21" i="1" s="1"/>
  <c r="F20" i="1"/>
  <c r="F21" i="1" s="1"/>
  <c r="E20" i="1"/>
  <c r="E21" i="1" s="1"/>
  <c r="D20" i="1"/>
  <c r="D21" i="1" s="1"/>
  <c r="C20" i="1"/>
  <c r="C21" i="1" s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</calcChain>
</file>

<file path=xl/sharedStrings.xml><?xml version="1.0" encoding="utf-8"?>
<sst xmlns="http://schemas.openxmlformats.org/spreadsheetml/2006/main" count="143" uniqueCount="61">
  <si>
    <t>Gluconate</t>
  </si>
  <si>
    <t>Blank2</t>
  </si>
  <si>
    <t>An_A_0</t>
  </si>
  <si>
    <t>An_B_0</t>
  </si>
  <si>
    <t>An_C_0</t>
  </si>
  <si>
    <t>An_A_3</t>
  </si>
  <si>
    <t>An_B_3</t>
  </si>
  <si>
    <t>An_C_3</t>
  </si>
  <si>
    <t>An_A_5</t>
  </si>
  <si>
    <t>An_B_5</t>
  </si>
  <si>
    <t>An_C_5</t>
  </si>
  <si>
    <t>An_A_7</t>
  </si>
  <si>
    <t>An_B_7</t>
  </si>
  <si>
    <t>An_C_7</t>
  </si>
  <si>
    <t>An_A_9</t>
  </si>
  <si>
    <t>An_B_9</t>
  </si>
  <si>
    <t>An_C_9</t>
  </si>
  <si>
    <t>An_A_24</t>
  </si>
  <si>
    <t>An_B_24</t>
  </si>
  <si>
    <t>An_C_24</t>
  </si>
  <si>
    <t>O2_A_0</t>
  </si>
  <si>
    <t>O2_B_0</t>
  </si>
  <si>
    <t>O2_C_0</t>
  </si>
  <si>
    <t>O2_A_3</t>
  </si>
  <si>
    <t>O2_B_3</t>
  </si>
  <si>
    <t>O2_C_3</t>
  </si>
  <si>
    <t>O2_A_5</t>
  </si>
  <si>
    <t>O2_B_5</t>
  </si>
  <si>
    <t>O2_C_5</t>
  </si>
  <si>
    <t>O2_A_7</t>
  </si>
  <si>
    <t>O2_B_7</t>
  </si>
  <si>
    <t>O2_C_7</t>
  </si>
  <si>
    <t>O2_A_9</t>
  </si>
  <si>
    <t>O2_B_9</t>
  </si>
  <si>
    <t>O2_C_9</t>
  </si>
  <si>
    <t>O2_A_24</t>
  </si>
  <si>
    <t>O2_B_24</t>
  </si>
  <si>
    <t>O2_C_24</t>
  </si>
  <si>
    <t>C12 PARENT</t>
  </si>
  <si>
    <t>C13-label-1</t>
  </si>
  <si>
    <t>C13-label-2</t>
  </si>
  <si>
    <t>C13-label-4</t>
  </si>
  <si>
    <t>C13-label-5</t>
  </si>
  <si>
    <t>C13-label-6</t>
  </si>
  <si>
    <t>concnetration (mM)</t>
  </si>
  <si>
    <t>samples mixed 1:1 with 1mM U-13C-gluconate</t>
  </si>
  <si>
    <t>D-Glucose</t>
  </si>
  <si>
    <t>Blank</t>
  </si>
  <si>
    <t>C13-label-3</t>
  </si>
  <si>
    <t>C12/C13</t>
  </si>
  <si>
    <t>concentration (M)</t>
  </si>
  <si>
    <t>concentration (mM)</t>
  </si>
  <si>
    <t>samples mixed 1:1 with 0.1M U-13-glucose</t>
  </si>
  <si>
    <t>pyruvate</t>
  </si>
  <si>
    <t>1-13C-pyruvate</t>
  </si>
  <si>
    <t>natural abundance</t>
  </si>
  <si>
    <t>1.107 '%</t>
  </si>
  <si>
    <t>correct for impurities in labeled pyruvate</t>
  </si>
  <si>
    <t>C12/C13 (corrected for natural 13C abund.)</t>
  </si>
  <si>
    <t>samples mixed 1:1 with 0.1 mM 1-13C-pyruvate</t>
  </si>
  <si>
    <r>
      <t>concentration (m</t>
    </r>
    <r>
      <rPr>
        <sz val="11"/>
        <color theme="1"/>
        <rFont val="Calibri"/>
        <family val="2"/>
      </rPr>
      <t>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</si>
</sst>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4"/>
  <sheetViews>
    <sheetView tabSelected="1" workbookViewId="0">
      <selection activeCell="I36" sqref="I36"/>
    </sheetView>
  </sheetViews>
  <sheetFormatPr defaultRowHeight="15" x14ac:dyDescent="0.25"/>
  <cols>
    <col min="1" max="1" width="18.85546875" bestFit="1" customWidth="1"/>
  </cols>
  <sheetData>
    <row r="1" spans="1:38" x14ac:dyDescent="0.25">
      <c r="A1" t="s">
        <v>45</v>
      </c>
    </row>
    <row r="2" spans="1:3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</row>
    <row r="3" spans="1:38" x14ac:dyDescent="0.25">
      <c r="A3" t="s">
        <v>38</v>
      </c>
      <c r="B3">
        <v>1097.54</v>
      </c>
      <c r="C3">
        <v>103390.25</v>
      </c>
      <c r="D3">
        <v>114679.5</v>
      </c>
      <c r="E3">
        <v>94610.93</v>
      </c>
      <c r="F3">
        <v>214248.92</v>
      </c>
      <c r="G3">
        <v>124830.91</v>
      </c>
      <c r="H3">
        <v>109987.72</v>
      </c>
      <c r="I3">
        <v>177710.14</v>
      </c>
      <c r="J3">
        <v>196277.2</v>
      </c>
      <c r="K3">
        <v>161350.26999999999</v>
      </c>
      <c r="L3">
        <v>331666.71999999997</v>
      </c>
      <c r="M3">
        <v>234262.55</v>
      </c>
      <c r="N3">
        <v>371826.5</v>
      </c>
      <c r="O3">
        <v>218513.83</v>
      </c>
      <c r="P3">
        <v>198422.38</v>
      </c>
      <c r="Q3">
        <v>200499.23</v>
      </c>
      <c r="R3">
        <v>71104.45</v>
      </c>
      <c r="S3">
        <v>81679.59</v>
      </c>
      <c r="T3">
        <v>77313.87</v>
      </c>
      <c r="U3">
        <v>103071.22</v>
      </c>
      <c r="V3">
        <v>96459.13</v>
      </c>
      <c r="W3">
        <v>81948.62</v>
      </c>
      <c r="X3">
        <v>1141841</v>
      </c>
      <c r="Y3">
        <v>1033709.31</v>
      </c>
      <c r="Z3">
        <v>1372123</v>
      </c>
      <c r="AA3">
        <v>4756688.5</v>
      </c>
      <c r="AB3">
        <v>5361334</v>
      </c>
      <c r="AC3">
        <v>4897194.5</v>
      </c>
      <c r="AD3">
        <v>15408897</v>
      </c>
      <c r="AE3">
        <v>15566064</v>
      </c>
      <c r="AF3">
        <v>15914541</v>
      </c>
      <c r="AG3">
        <v>36542816</v>
      </c>
      <c r="AH3">
        <v>31932320</v>
      </c>
      <c r="AI3">
        <v>40303500</v>
      </c>
      <c r="AJ3">
        <v>328137728</v>
      </c>
      <c r="AK3">
        <v>332452800</v>
      </c>
      <c r="AL3">
        <v>314342752</v>
      </c>
    </row>
    <row r="4" spans="1:38" x14ac:dyDescent="0.25">
      <c r="A4" t="s">
        <v>39</v>
      </c>
      <c r="B4">
        <v>0</v>
      </c>
      <c r="C4">
        <v>2317.8000000000002</v>
      </c>
      <c r="D4">
        <v>5001.01</v>
      </c>
      <c r="E4">
        <v>4842.41</v>
      </c>
      <c r="F4">
        <v>6948.31</v>
      </c>
      <c r="G4">
        <v>6150.36</v>
      </c>
      <c r="H4">
        <v>2702.9</v>
      </c>
      <c r="I4">
        <v>13519.11</v>
      </c>
      <c r="J4">
        <v>11054.04</v>
      </c>
      <c r="K4">
        <v>7781.61</v>
      </c>
      <c r="L4">
        <v>25014.33</v>
      </c>
      <c r="M4">
        <v>19352.900000000001</v>
      </c>
      <c r="N4">
        <v>33430.54</v>
      </c>
      <c r="O4">
        <v>13692.58</v>
      </c>
      <c r="P4">
        <v>9166.2199999999993</v>
      </c>
      <c r="Q4">
        <v>10250.6</v>
      </c>
      <c r="R4">
        <v>3311.18</v>
      </c>
      <c r="S4">
        <v>4798.83</v>
      </c>
      <c r="T4">
        <v>3587.44</v>
      </c>
      <c r="U4">
        <v>5449.64</v>
      </c>
      <c r="V4">
        <v>3879.55</v>
      </c>
      <c r="W4">
        <v>2740.52</v>
      </c>
      <c r="X4">
        <v>88130.65</v>
      </c>
      <c r="Y4">
        <v>67807.95</v>
      </c>
      <c r="Z4">
        <v>96515.77</v>
      </c>
      <c r="AA4">
        <v>304587.28000000003</v>
      </c>
      <c r="AB4">
        <v>346796.66</v>
      </c>
      <c r="AC4">
        <v>347688.62</v>
      </c>
      <c r="AD4">
        <v>1075329.5</v>
      </c>
      <c r="AE4">
        <v>1022265.81</v>
      </c>
      <c r="AF4">
        <v>1038227.31</v>
      </c>
      <c r="AG4">
        <v>2501681.5</v>
      </c>
      <c r="AH4">
        <v>2304469</v>
      </c>
      <c r="AI4">
        <v>2760160.75</v>
      </c>
      <c r="AJ4">
        <v>22270938</v>
      </c>
      <c r="AK4">
        <v>21485414</v>
      </c>
      <c r="AL4">
        <v>21554782</v>
      </c>
    </row>
    <row r="5" spans="1:38" x14ac:dyDescent="0.25">
      <c r="A5" t="s">
        <v>40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3619.48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25">
      <c r="A6" t="s">
        <v>41</v>
      </c>
      <c r="B6">
        <v>0</v>
      </c>
      <c r="C6">
        <v>45582.92</v>
      </c>
      <c r="D6">
        <v>55844.71</v>
      </c>
      <c r="E6">
        <v>45758.31</v>
      </c>
      <c r="F6">
        <v>49239.5</v>
      </c>
      <c r="G6">
        <v>42758.25</v>
      </c>
      <c r="H6">
        <v>43889.95</v>
      </c>
      <c r="I6">
        <v>39315.33</v>
      </c>
      <c r="J6">
        <v>36409.339999999997</v>
      </c>
      <c r="K6">
        <v>37113.800000000003</v>
      </c>
      <c r="L6">
        <v>34987.410000000003</v>
      </c>
      <c r="M6">
        <v>38311.480000000003</v>
      </c>
      <c r="N6">
        <v>36023.4</v>
      </c>
      <c r="O6">
        <v>35042.74</v>
      </c>
      <c r="P6">
        <v>34643.300000000003</v>
      </c>
      <c r="Q6">
        <v>32548.19</v>
      </c>
      <c r="R6">
        <v>28679.19</v>
      </c>
      <c r="S6">
        <v>27106.76</v>
      </c>
      <c r="T6">
        <v>29646.16</v>
      </c>
      <c r="U6">
        <v>47456.66</v>
      </c>
      <c r="V6">
        <v>45893.120000000003</v>
      </c>
      <c r="W6">
        <v>46730.8</v>
      </c>
      <c r="X6">
        <v>42006.32</v>
      </c>
      <c r="Y6">
        <v>32755.25</v>
      </c>
      <c r="Z6">
        <v>35328.28</v>
      </c>
      <c r="AA6">
        <v>35830.07</v>
      </c>
      <c r="AB6">
        <v>42512.4</v>
      </c>
      <c r="AC6">
        <v>37396.35</v>
      </c>
      <c r="AD6">
        <v>37335.360000000001</v>
      </c>
      <c r="AE6">
        <v>38661.57</v>
      </c>
      <c r="AF6">
        <v>34580.61</v>
      </c>
      <c r="AG6">
        <v>32841.17</v>
      </c>
      <c r="AH6">
        <v>32311.9</v>
      </c>
      <c r="AI6">
        <v>25669.83</v>
      </c>
      <c r="AJ6">
        <v>17082.349999999999</v>
      </c>
      <c r="AK6">
        <v>0</v>
      </c>
      <c r="AL6">
        <v>13912</v>
      </c>
    </row>
    <row r="7" spans="1:38" x14ac:dyDescent="0.25">
      <c r="A7" t="s">
        <v>42</v>
      </c>
      <c r="B7">
        <v>0</v>
      </c>
      <c r="C7">
        <v>469779.25</v>
      </c>
      <c r="D7">
        <v>470278.47</v>
      </c>
      <c r="E7">
        <v>453510.38</v>
      </c>
      <c r="F7">
        <v>392686.12</v>
      </c>
      <c r="G7">
        <v>437492.09</v>
      </c>
      <c r="H7">
        <v>361952.16</v>
      </c>
      <c r="I7">
        <v>335948.5</v>
      </c>
      <c r="J7">
        <v>303763.53000000003</v>
      </c>
      <c r="K7">
        <v>321418.12</v>
      </c>
      <c r="L7">
        <v>313474.81</v>
      </c>
      <c r="M7">
        <v>314444.46999999997</v>
      </c>
      <c r="N7">
        <v>309265.21999999997</v>
      </c>
      <c r="O7">
        <v>286386.12</v>
      </c>
      <c r="P7">
        <v>299290.34000000003</v>
      </c>
      <c r="Q7">
        <v>295664.59000000003</v>
      </c>
      <c r="R7">
        <v>265325.75</v>
      </c>
      <c r="S7">
        <v>265420.44</v>
      </c>
      <c r="T7">
        <v>258390.73</v>
      </c>
      <c r="U7">
        <v>433703.03</v>
      </c>
      <c r="V7">
        <v>448784.09</v>
      </c>
      <c r="W7">
        <v>401814.16</v>
      </c>
      <c r="X7">
        <v>380763.66</v>
      </c>
      <c r="Y7">
        <v>382546.25</v>
      </c>
      <c r="Z7">
        <v>383942.03</v>
      </c>
      <c r="AA7">
        <v>425206.53</v>
      </c>
      <c r="AB7">
        <v>388176.84</v>
      </c>
      <c r="AC7">
        <v>356953.91</v>
      </c>
      <c r="AD7">
        <v>451059.91</v>
      </c>
      <c r="AE7">
        <v>455029.84</v>
      </c>
      <c r="AF7">
        <v>447339.66</v>
      </c>
      <c r="AG7">
        <v>493161.12</v>
      </c>
      <c r="AH7">
        <v>535407.81000000006</v>
      </c>
      <c r="AI7">
        <v>592378.68999999994</v>
      </c>
      <c r="AJ7">
        <v>878656.81</v>
      </c>
      <c r="AK7">
        <v>875645.56</v>
      </c>
      <c r="AL7">
        <v>830241.81</v>
      </c>
    </row>
    <row r="8" spans="1:38" x14ac:dyDescent="0.25">
      <c r="A8" t="s">
        <v>43</v>
      </c>
      <c r="B8">
        <v>0</v>
      </c>
      <c r="C8">
        <v>7409695.5</v>
      </c>
      <c r="D8">
        <v>7644472.5</v>
      </c>
      <c r="E8">
        <v>7191120</v>
      </c>
      <c r="F8">
        <v>6469354.5</v>
      </c>
      <c r="G8">
        <v>6567824.5</v>
      </c>
      <c r="H8">
        <v>5459345.5</v>
      </c>
      <c r="I8">
        <v>5096381.5</v>
      </c>
      <c r="J8">
        <v>4943828.5</v>
      </c>
      <c r="K8">
        <v>4888220.5</v>
      </c>
      <c r="L8">
        <v>4707895.5</v>
      </c>
      <c r="M8">
        <v>4810007.5</v>
      </c>
      <c r="N8">
        <v>4803668.5</v>
      </c>
      <c r="O8">
        <v>3981568.75</v>
      </c>
      <c r="P8">
        <v>4136192.75</v>
      </c>
      <c r="Q8">
        <v>4113603.75</v>
      </c>
      <c r="R8">
        <v>3774657</v>
      </c>
      <c r="S8">
        <v>3872977.75</v>
      </c>
      <c r="T8">
        <v>3761765.75</v>
      </c>
      <c r="U8">
        <v>6949410.5</v>
      </c>
      <c r="V8">
        <v>7320180</v>
      </c>
      <c r="W8">
        <v>5976133.5</v>
      </c>
      <c r="X8">
        <v>6080850</v>
      </c>
      <c r="Y8">
        <v>5771060.5</v>
      </c>
      <c r="Z8">
        <v>6200926</v>
      </c>
      <c r="AA8">
        <v>7372721.5</v>
      </c>
      <c r="AB8">
        <v>7614160</v>
      </c>
      <c r="AC8">
        <v>7096116</v>
      </c>
      <c r="AD8">
        <v>10606913</v>
      </c>
      <c r="AE8">
        <v>10520140</v>
      </c>
      <c r="AF8">
        <v>10626769</v>
      </c>
      <c r="AG8">
        <v>15448453</v>
      </c>
      <c r="AH8">
        <v>14158248</v>
      </c>
      <c r="AI8">
        <v>16605752</v>
      </c>
      <c r="AJ8">
        <v>29792432</v>
      </c>
      <c r="AK8">
        <v>28417750</v>
      </c>
      <c r="AL8">
        <v>29234552</v>
      </c>
    </row>
    <row r="9" spans="1:38" x14ac:dyDescent="0.25">
      <c r="A9" t="s">
        <v>44</v>
      </c>
      <c r="C9">
        <f>(C3+C4)/(C7+C8)</f>
        <v>1.3415621390245587E-2</v>
      </c>
      <c r="D9">
        <f t="shared" ref="D9:AL9" si="0">(D3+D4)/(D7+D8)</f>
        <v>1.4748512978704508E-2</v>
      </c>
      <c r="E9">
        <f t="shared" si="0"/>
        <v>1.300956816175068E-2</v>
      </c>
      <c r="F9">
        <f t="shared" si="0"/>
        <v>3.2234905365512101E-2</v>
      </c>
      <c r="G9">
        <f t="shared" si="0"/>
        <v>1.8697409077410448E-2</v>
      </c>
      <c r="H9">
        <f t="shared" si="0"/>
        <v>1.9358333241458057E-2</v>
      </c>
      <c r="I9">
        <f t="shared" si="0"/>
        <v>3.5202067989242185E-2</v>
      </c>
      <c r="J9">
        <f t="shared" si="0"/>
        <v>3.9509786358144158E-2</v>
      </c>
      <c r="K9">
        <f t="shared" si="0"/>
        <v>3.2465184696438693E-2</v>
      </c>
      <c r="L9">
        <f t="shared" si="0"/>
        <v>7.1032612211386584E-2</v>
      </c>
      <c r="M9">
        <f t="shared" si="0"/>
        <v>4.9491233693814869E-2</v>
      </c>
      <c r="N9">
        <f t="shared" si="0"/>
        <v>7.9261156547908468E-2</v>
      </c>
      <c r="O9">
        <f t="shared" si="0"/>
        <v>5.4406950652690467E-2</v>
      </c>
      <c r="P9">
        <f t="shared" si="0"/>
        <v>4.6801801695066321E-2</v>
      </c>
      <c r="Q9">
        <f t="shared" si="0"/>
        <v>4.7797007065349083E-2</v>
      </c>
      <c r="R9">
        <f t="shared" si="0"/>
        <v>1.841978904489134E-2</v>
      </c>
      <c r="S9">
        <f t="shared" si="0"/>
        <v>2.0896592360050301E-2</v>
      </c>
      <c r="T9">
        <f t="shared" si="0"/>
        <v>2.0123920648979315E-2</v>
      </c>
      <c r="U9">
        <f t="shared" si="0"/>
        <v>1.4698522453846107E-2</v>
      </c>
      <c r="V9">
        <f t="shared" si="0"/>
        <v>1.2915322923059103E-2</v>
      </c>
      <c r="W9">
        <f t="shared" si="0"/>
        <v>1.3278431325352081E-2</v>
      </c>
      <c r="X9">
        <f t="shared" si="0"/>
        <v>0.19035054008475027</v>
      </c>
      <c r="Y9">
        <f t="shared" si="0"/>
        <v>0.17900351854625746</v>
      </c>
      <c r="Z9">
        <f t="shared" si="0"/>
        <v>0.22303237715760266</v>
      </c>
      <c r="AA9">
        <f t="shared" si="0"/>
        <v>0.6490539231098803</v>
      </c>
      <c r="AB9">
        <f t="shared" si="0"/>
        <v>0.71330797167493387</v>
      </c>
      <c r="AC9">
        <f t="shared" si="0"/>
        <v>0.70372117574837023</v>
      </c>
      <c r="AD9">
        <f t="shared" si="0"/>
        <v>1.4907096114417955</v>
      </c>
      <c r="AE9">
        <f t="shared" si="0"/>
        <v>1.5114417409325487</v>
      </c>
      <c r="AF9">
        <f t="shared" si="0"/>
        <v>1.5308472068035495</v>
      </c>
      <c r="AG9">
        <f t="shared" si="0"/>
        <v>2.4492185801320852</v>
      </c>
      <c r="AH9">
        <f t="shared" si="0"/>
        <v>2.3300388577701412</v>
      </c>
      <c r="AI9">
        <f t="shared" si="0"/>
        <v>2.5039733402560853</v>
      </c>
      <c r="AJ9">
        <f t="shared" si="0"/>
        <v>11.424722094826734</v>
      </c>
      <c r="AK9">
        <f t="shared" si="0"/>
        <v>12.082526017683694</v>
      </c>
      <c r="AL9">
        <f t="shared" si="0"/>
        <v>11.172454270691704</v>
      </c>
    </row>
    <row r="11" spans="1:38" x14ac:dyDescent="0.25">
      <c r="A11" t="s">
        <v>52</v>
      </c>
    </row>
    <row r="12" spans="1:38" x14ac:dyDescent="0.25">
      <c r="A12" t="s">
        <v>46</v>
      </c>
      <c r="B12" t="s">
        <v>47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  <c r="K12" t="s">
        <v>10</v>
      </c>
      <c r="L12" t="s">
        <v>11</v>
      </c>
      <c r="M12" t="s">
        <v>12</v>
      </c>
      <c r="N12" t="s">
        <v>13</v>
      </c>
      <c r="O12" t="s">
        <v>14</v>
      </c>
      <c r="P12" t="s">
        <v>15</v>
      </c>
      <c r="Q12" t="s">
        <v>16</v>
      </c>
      <c r="R12" t="s">
        <v>17</v>
      </c>
      <c r="S12" t="s">
        <v>18</v>
      </c>
      <c r="T12" t="s">
        <v>19</v>
      </c>
      <c r="U12" t="s">
        <v>20</v>
      </c>
      <c r="V12" t="s">
        <v>21</v>
      </c>
      <c r="W12" t="s">
        <v>22</v>
      </c>
      <c r="X12" t="s">
        <v>23</v>
      </c>
      <c r="Y12" t="s">
        <v>24</v>
      </c>
      <c r="Z12" t="s">
        <v>25</v>
      </c>
      <c r="AA12" t="s">
        <v>26</v>
      </c>
      <c r="AB12" t="s">
        <v>27</v>
      </c>
      <c r="AC12" t="s">
        <v>28</v>
      </c>
      <c r="AD12" t="s">
        <v>29</v>
      </c>
      <c r="AE12" t="s">
        <v>30</v>
      </c>
      <c r="AF12" t="s">
        <v>31</v>
      </c>
      <c r="AG12" t="s">
        <v>32</v>
      </c>
      <c r="AH12" t="s">
        <v>33</v>
      </c>
      <c r="AI12" t="s">
        <v>34</v>
      </c>
      <c r="AJ12" t="s">
        <v>35</v>
      </c>
      <c r="AK12" t="s">
        <v>36</v>
      </c>
      <c r="AL12" t="s">
        <v>37</v>
      </c>
    </row>
    <row r="13" spans="1:38" x14ac:dyDescent="0.25">
      <c r="A13" t="s">
        <v>38</v>
      </c>
      <c r="B13">
        <v>6850.14</v>
      </c>
      <c r="C13">
        <v>66040724</v>
      </c>
      <c r="D13">
        <v>81791232</v>
      </c>
      <c r="E13">
        <v>78850824</v>
      </c>
      <c r="F13">
        <v>77186960</v>
      </c>
      <c r="G13">
        <v>73869584</v>
      </c>
      <c r="H13">
        <v>82640592</v>
      </c>
      <c r="I13">
        <v>69536440</v>
      </c>
      <c r="J13">
        <v>78018600</v>
      </c>
      <c r="K13">
        <v>70360232</v>
      </c>
      <c r="L13">
        <v>47078720</v>
      </c>
      <c r="M13">
        <v>56063716</v>
      </c>
      <c r="N13">
        <v>50632852</v>
      </c>
      <c r="O13">
        <v>13806989</v>
      </c>
      <c r="P13">
        <v>17429074</v>
      </c>
      <c r="Q13">
        <v>13857277</v>
      </c>
      <c r="R13">
        <v>1209277</v>
      </c>
      <c r="S13">
        <v>1352738.5</v>
      </c>
      <c r="T13">
        <v>1277675.1200000001</v>
      </c>
      <c r="U13">
        <v>85671712</v>
      </c>
      <c r="V13">
        <v>89955016</v>
      </c>
      <c r="W13">
        <v>83716760</v>
      </c>
      <c r="X13">
        <v>74636280</v>
      </c>
      <c r="Y13">
        <v>84005896</v>
      </c>
      <c r="Z13">
        <v>78766440</v>
      </c>
      <c r="AA13">
        <v>67583864</v>
      </c>
      <c r="AB13">
        <v>74463096</v>
      </c>
      <c r="AC13">
        <v>72990136</v>
      </c>
      <c r="AD13">
        <v>64985204</v>
      </c>
      <c r="AE13">
        <v>58076500</v>
      </c>
      <c r="AF13">
        <v>70856616</v>
      </c>
      <c r="AG13">
        <v>62235232</v>
      </c>
      <c r="AH13">
        <v>64390260</v>
      </c>
      <c r="AI13">
        <v>64285420</v>
      </c>
      <c r="AJ13">
        <v>35331332</v>
      </c>
      <c r="AK13">
        <v>34847388</v>
      </c>
      <c r="AL13">
        <v>36344536</v>
      </c>
    </row>
    <row r="14" spans="1:38" x14ac:dyDescent="0.25">
      <c r="A14" t="s">
        <v>39</v>
      </c>
      <c r="B14">
        <v>0</v>
      </c>
      <c r="C14">
        <v>4490498</v>
      </c>
      <c r="D14">
        <v>5727608</v>
      </c>
      <c r="E14">
        <v>5578508.5</v>
      </c>
      <c r="F14">
        <v>5325168</v>
      </c>
      <c r="G14">
        <v>5077126.5</v>
      </c>
      <c r="H14">
        <v>5471077.5</v>
      </c>
      <c r="I14">
        <v>5055758.5</v>
      </c>
      <c r="J14">
        <v>5307766</v>
      </c>
      <c r="K14">
        <v>4882592.5</v>
      </c>
      <c r="L14">
        <v>3294828.25</v>
      </c>
      <c r="M14">
        <v>3495130</v>
      </c>
      <c r="N14">
        <v>3588578</v>
      </c>
      <c r="O14">
        <v>897553.31</v>
      </c>
      <c r="P14">
        <v>1162658.1200000001</v>
      </c>
      <c r="Q14">
        <v>968666.19</v>
      </c>
      <c r="R14">
        <v>67867.710000000006</v>
      </c>
      <c r="S14">
        <v>81502.080000000002</v>
      </c>
      <c r="T14">
        <v>78724.84</v>
      </c>
      <c r="U14">
        <v>5886704.5</v>
      </c>
      <c r="V14">
        <v>6371593.5</v>
      </c>
      <c r="W14">
        <v>5595113.5</v>
      </c>
      <c r="X14">
        <v>5143006.5</v>
      </c>
      <c r="Y14">
        <v>5790478</v>
      </c>
      <c r="Z14">
        <v>5447155.5</v>
      </c>
      <c r="AA14">
        <v>4647688</v>
      </c>
      <c r="AB14">
        <v>4842917</v>
      </c>
      <c r="AC14">
        <v>4872670</v>
      </c>
      <c r="AD14">
        <v>4582588.5</v>
      </c>
      <c r="AE14">
        <v>3989823.75</v>
      </c>
      <c r="AF14">
        <v>4743842</v>
      </c>
      <c r="AG14">
        <v>4195608.5</v>
      </c>
      <c r="AH14">
        <v>4438732</v>
      </c>
      <c r="AI14">
        <v>4495082.5</v>
      </c>
      <c r="AJ14">
        <v>2389865.75</v>
      </c>
      <c r="AK14">
        <v>2317719.25</v>
      </c>
      <c r="AL14">
        <v>2427163.75</v>
      </c>
    </row>
    <row r="15" spans="1:38" x14ac:dyDescent="0.25">
      <c r="A15" t="s">
        <v>48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7090.06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7195.21</v>
      </c>
      <c r="AL15">
        <v>0</v>
      </c>
    </row>
    <row r="16" spans="1:38" x14ac:dyDescent="0.25">
      <c r="A16" t="s">
        <v>41</v>
      </c>
      <c r="B16">
        <v>0</v>
      </c>
      <c r="C16">
        <v>145687.39000000001</v>
      </c>
      <c r="D16">
        <v>170857.7</v>
      </c>
      <c r="E16">
        <v>145923.38</v>
      </c>
      <c r="F16">
        <v>154325.94</v>
      </c>
      <c r="G16">
        <v>185405.02</v>
      </c>
      <c r="H16">
        <v>212961.38</v>
      </c>
      <c r="I16">
        <v>206042.3</v>
      </c>
      <c r="J16">
        <v>166302.07999999999</v>
      </c>
      <c r="K16">
        <v>198948.61</v>
      </c>
      <c r="L16">
        <v>211218.55</v>
      </c>
      <c r="M16">
        <v>200498.5</v>
      </c>
      <c r="N16">
        <v>211883.17</v>
      </c>
      <c r="O16">
        <v>245751.19</v>
      </c>
      <c r="P16">
        <v>236518.3</v>
      </c>
      <c r="Q16">
        <v>211183.02</v>
      </c>
      <c r="R16">
        <v>219814.14</v>
      </c>
      <c r="S16">
        <v>309132.62</v>
      </c>
      <c r="T16">
        <v>299057.34000000003</v>
      </c>
      <c r="U16">
        <v>149263.89000000001</v>
      </c>
      <c r="V16">
        <v>198409.77</v>
      </c>
      <c r="W16">
        <v>157511.23000000001</v>
      </c>
      <c r="X16">
        <v>191807.45</v>
      </c>
      <c r="Y16">
        <v>197161.7</v>
      </c>
      <c r="Z16">
        <v>182496.36</v>
      </c>
      <c r="AA16">
        <v>160898.69</v>
      </c>
      <c r="AB16">
        <v>206071.39</v>
      </c>
      <c r="AC16">
        <v>160851.85999999999</v>
      </c>
      <c r="AD16">
        <v>168176.02</v>
      </c>
      <c r="AE16">
        <v>156957.82999999999</v>
      </c>
      <c r="AF16">
        <v>191798.39</v>
      </c>
      <c r="AG16">
        <v>218489.94</v>
      </c>
      <c r="AH16">
        <v>0</v>
      </c>
      <c r="AI16">
        <v>223814.3</v>
      </c>
      <c r="AJ16">
        <v>280211.88</v>
      </c>
      <c r="AK16">
        <v>211846.2</v>
      </c>
      <c r="AL16">
        <v>236915.42</v>
      </c>
    </row>
    <row r="17" spans="1:39" x14ac:dyDescent="0.25">
      <c r="A17" t="s">
        <v>42</v>
      </c>
      <c r="B17">
        <v>2296.6999999999998</v>
      </c>
      <c r="C17">
        <v>3748108.75</v>
      </c>
      <c r="D17">
        <v>4774646.5</v>
      </c>
      <c r="E17">
        <v>4790369.5</v>
      </c>
      <c r="F17">
        <v>5101158.5</v>
      </c>
      <c r="G17">
        <v>5014646</v>
      </c>
      <c r="H17">
        <v>5506116</v>
      </c>
      <c r="I17">
        <v>5619857.5</v>
      </c>
      <c r="J17">
        <v>5864864</v>
      </c>
      <c r="K17">
        <v>5797420</v>
      </c>
      <c r="L17">
        <v>5784376</v>
      </c>
      <c r="M17">
        <v>6516766</v>
      </c>
      <c r="N17">
        <v>5968632.5</v>
      </c>
      <c r="O17">
        <v>7921346.5</v>
      </c>
      <c r="P17">
        <v>7586830</v>
      </c>
      <c r="Q17">
        <v>7678174.5</v>
      </c>
      <c r="R17">
        <v>7383120</v>
      </c>
      <c r="S17">
        <v>8047842.5</v>
      </c>
      <c r="T17">
        <v>8011382</v>
      </c>
      <c r="U17">
        <v>5464669.5</v>
      </c>
      <c r="V17">
        <v>5628834</v>
      </c>
      <c r="W17">
        <v>5061634.5</v>
      </c>
      <c r="X17">
        <v>5140398.5</v>
      </c>
      <c r="Y17">
        <v>5755894.5</v>
      </c>
      <c r="Z17">
        <v>4936886</v>
      </c>
      <c r="AA17">
        <v>5148774</v>
      </c>
      <c r="AB17">
        <v>5377299</v>
      </c>
      <c r="AC17">
        <v>5208740.5</v>
      </c>
      <c r="AD17">
        <v>5228149.5</v>
      </c>
      <c r="AE17">
        <v>4712375.5</v>
      </c>
      <c r="AF17">
        <v>5597420.5</v>
      </c>
      <c r="AG17">
        <v>5639689.5</v>
      </c>
      <c r="AH17">
        <v>5420099.5</v>
      </c>
      <c r="AI17">
        <v>5617620</v>
      </c>
      <c r="AJ17">
        <v>6480262</v>
      </c>
      <c r="AK17">
        <v>6853301.5</v>
      </c>
      <c r="AL17">
        <v>6682681.5</v>
      </c>
    </row>
    <row r="18" spans="1:39" x14ac:dyDescent="0.25">
      <c r="A18" t="s">
        <v>43</v>
      </c>
      <c r="B18">
        <v>8109.56</v>
      </c>
      <c r="C18">
        <v>64098400</v>
      </c>
      <c r="D18">
        <v>80577400</v>
      </c>
      <c r="E18">
        <v>81039576</v>
      </c>
      <c r="F18">
        <v>89620776</v>
      </c>
      <c r="G18">
        <v>84309072</v>
      </c>
      <c r="H18">
        <v>93874984</v>
      </c>
      <c r="I18">
        <v>95271720</v>
      </c>
      <c r="J18">
        <v>104781592</v>
      </c>
      <c r="K18">
        <v>96358664</v>
      </c>
      <c r="L18">
        <v>97447992</v>
      </c>
      <c r="M18">
        <v>96989672</v>
      </c>
      <c r="N18">
        <v>98130888</v>
      </c>
      <c r="O18">
        <v>130062808</v>
      </c>
      <c r="P18">
        <v>129139880</v>
      </c>
      <c r="Q18">
        <v>126180440</v>
      </c>
      <c r="R18">
        <v>126418536</v>
      </c>
      <c r="S18">
        <v>137756544</v>
      </c>
      <c r="T18">
        <v>134916416</v>
      </c>
      <c r="U18">
        <v>93808920</v>
      </c>
      <c r="V18">
        <v>91635976</v>
      </c>
      <c r="W18">
        <v>85995096</v>
      </c>
      <c r="X18">
        <v>85249208</v>
      </c>
      <c r="Y18">
        <v>94698664</v>
      </c>
      <c r="Z18">
        <v>90375416</v>
      </c>
      <c r="AA18">
        <v>84554112</v>
      </c>
      <c r="AB18">
        <v>93496360</v>
      </c>
      <c r="AC18">
        <v>91583240</v>
      </c>
      <c r="AD18">
        <v>88915240</v>
      </c>
      <c r="AE18">
        <v>78920808</v>
      </c>
      <c r="AF18">
        <v>95720360</v>
      </c>
      <c r="AG18">
        <v>96766376</v>
      </c>
      <c r="AH18">
        <v>98609304</v>
      </c>
      <c r="AI18">
        <v>97395480</v>
      </c>
      <c r="AJ18">
        <v>107976744</v>
      </c>
      <c r="AK18">
        <v>105091224</v>
      </c>
      <c r="AL18">
        <v>109976768</v>
      </c>
    </row>
    <row r="19" spans="1:39" x14ac:dyDescent="0.25">
      <c r="A19" s="1" t="s">
        <v>49</v>
      </c>
      <c r="B19">
        <v>0.65827107913890293</v>
      </c>
      <c r="C19">
        <v>1.039570396464947</v>
      </c>
      <c r="D19">
        <v>1.0253865441879007</v>
      </c>
      <c r="E19">
        <v>0.98368153455252982</v>
      </c>
      <c r="F19">
        <v>0.87109842546553984</v>
      </c>
      <c r="G19">
        <v>0.88382696407688721</v>
      </c>
      <c r="H19">
        <v>0.88660388645325927</v>
      </c>
      <c r="I19">
        <v>0.73933028255009692</v>
      </c>
      <c r="J19">
        <v>0.75308662394030945</v>
      </c>
      <c r="K19">
        <v>0.73654765877674011</v>
      </c>
      <c r="L19">
        <v>0.4879627313208586</v>
      </c>
      <c r="M19">
        <v>0.57541199514565466</v>
      </c>
      <c r="N19">
        <v>0.52086147697481466</v>
      </c>
      <c r="O19">
        <v>0.10656689069323537</v>
      </c>
      <c r="P19">
        <v>0.1359773238162463</v>
      </c>
      <c r="Q19">
        <v>0.11075822983361298</v>
      </c>
      <c r="R19">
        <v>9.5450590686261758E-3</v>
      </c>
      <c r="S19">
        <v>9.8367450693947409E-3</v>
      </c>
      <c r="T19">
        <v>9.4901060464109305E-3</v>
      </c>
      <c r="U19">
        <v>0.92228373086076432</v>
      </c>
      <c r="V19">
        <v>0.99035416303183033</v>
      </c>
      <c r="W19">
        <v>0.98083769326639725</v>
      </c>
      <c r="X19">
        <v>0.88261570759244312</v>
      </c>
      <c r="Y19">
        <v>0.89390043957039544</v>
      </c>
      <c r="Z19">
        <v>0.88355431285250041</v>
      </c>
      <c r="AA19">
        <v>0.80523108253172593</v>
      </c>
      <c r="AB19">
        <v>0.80209444863368518</v>
      </c>
      <c r="AC19">
        <v>0.80443447481684704</v>
      </c>
      <c r="AD19">
        <v>0.73895568100402842</v>
      </c>
      <c r="AE19">
        <v>0.74212556729949186</v>
      </c>
      <c r="AF19">
        <v>0.74617167516811134</v>
      </c>
      <c r="AG19">
        <v>0.64870025203731707</v>
      </c>
      <c r="AH19">
        <v>0.66163017074302455</v>
      </c>
      <c r="AI19">
        <v>0.66768694952389551</v>
      </c>
      <c r="AJ19">
        <v>0.32956652518064294</v>
      </c>
      <c r="AK19">
        <v>0.33199575489736655</v>
      </c>
      <c r="AL19">
        <v>0.33234941460957262</v>
      </c>
    </row>
    <row r="20" spans="1:39" x14ac:dyDescent="0.25">
      <c r="A20" s="1" t="s">
        <v>50</v>
      </c>
      <c r="C20">
        <f>C19*0.1</f>
        <v>0.10395703964649471</v>
      </c>
      <c r="D20">
        <f t="shared" ref="D20:AL20" si="1">D19*0.1</f>
        <v>0.10253865441879007</v>
      </c>
      <c r="E20">
        <f t="shared" si="1"/>
        <v>9.8368153455252988E-2</v>
      </c>
      <c r="F20">
        <f t="shared" si="1"/>
        <v>8.7109842546553989E-2</v>
      </c>
      <c r="G20">
        <f t="shared" si="1"/>
        <v>8.8382696407688727E-2</v>
      </c>
      <c r="H20">
        <f t="shared" si="1"/>
        <v>8.8660388645325938E-2</v>
      </c>
      <c r="I20">
        <f t="shared" si="1"/>
        <v>7.3933028255009692E-2</v>
      </c>
      <c r="J20">
        <f t="shared" si="1"/>
        <v>7.5308662394030945E-2</v>
      </c>
      <c r="K20">
        <f t="shared" si="1"/>
        <v>7.3654765877674014E-2</v>
      </c>
      <c r="L20">
        <f t="shared" si="1"/>
        <v>4.8796273132085864E-2</v>
      </c>
      <c r="M20">
        <f t="shared" si="1"/>
        <v>5.7541199514565468E-2</v>
      </c>
      <c r="N20">
        <f t="shared" si="1"/>
        <v>5.2086147697481468E-2</v>
      </c>
      <c r="O20">
        <f t="shared" si="1"/>
        <v>1.0656689069323537E-2</v>
      </c>
      <c r="P20">
        <f t="shared" si="1"/>
        <v>1.3597732381624631E-2</v>
      </c>
      <c r="Q20">
        <f t="shared" si="1"/>
        <v>1.1075822983361299E-2</v>
      </c>
      <c r="R20">
        <f t="shared" si="1"/>
        <v>9.5450590686261758E-4</v>
      </c>
      <c r="S20">
        <f t="shared" si="1"/>
        <v>9.8367450693947404E-4</v>
      </c>
      <c r="T20">
        <f t="shared" si="1"/>
        <v>9.4901060464109308E-4</v>
      </c>
      <c r="U20">
        <f t="shared" si="1"/>
        <v>9.222837308607644E-2</v>
      </c>
      <c r="V20">
        <f t="shared" si="1"/>
        <v>9.9035416303183035E-2</v>
      </c>
      <c r="W20">
        <f t="shared" si="1"/>
        <v>9.808376932663973E-2</v>
      </c>
      <c r="X20">
        <f t="shared" si="1"/>
        <v>8.8261570759244318E-2</v>
      </c>
      <c r="Y20">
        <f t="shared" si="1"/>
        <v>8.9390043957039547E-2</v>
      </c>
      <c r="Z20">
        <f t="shared" si="1"/>
        <v>8.8355431285250044E-2</v>
      </c>
      <c r="AA20">
        <f t="shared" si="1"/>
        <v>8.0523108253172604E-2</v>
      </c>
      <c r="AB20">
        <f t="shared" si="1"/>
        <v>8.020944486336852E-2</v>
      </c>
      <c r="AC20">
        <f t="shared" si="1"/>
        <v>8.0443447481684707E-2</v>
      </c>
      <c r="AD20">
        <f t="shared" si="1"/>
        <v>7.3895568100402848E-2</v>
      </c>
      <c r="AE20">
        <f t="shared" si="1"/>
        <v>7.4212556729949183E-2</v>
      </c>
      <c r="AF20">
        <f t="shared" si="1"/>
        <v>7.4617167516811134E-2</v>
      </c>
      <c r="AG20">
        <f t="shared" si="1"/>
        <v>6.487002520373171E-2</v>
      </c>
      <c r="AH20">
        <f t="shared" si="1"/>
        <v>6.6163017074302458E-2</v>
      </c>
      <c r="AI20">
        <f t="shared" si="1"/>
        <v>6.676869495238956E-2</v>
      </c>
      <c r="AJ20">
        <f t="shared" si="1"/>
        <v>3.2956652518064296E-2</v>
      </c>
      <c r="AK20">
        <f t="shared" si="1"/>
        <v>3.3199575489736656E-2</v>
      </c>
      <c r="AL20">
        <f t="shared" si="1"/>
        <v>3.3234941460957262E-2</v>
      </c>
    </row>
    <row r="21" spans="1:39" x14ac:dyDescent="0.25">
      <c r="A21" t="s">
        <v>51</v>
      </c>
      <c r="C21">
        <f>C20*1000</f>
        <v>103.95703964649471</v>
      </c>
      <c r="D21">
        <f t="shared" ref="D21:AL21" si="2">D20*1000</f>
        <v>102.53865441879006</v>
      </c>
      <c r="E21">
        <f t="shared" si="2"/>
        <v>98.368153455252994</v>
      </c>
      <c r="F21">
        <f t="shared" si="2"/>
        <v>87.109842546553992</v>
      </c>
      <c r="G21">
        <f t="shared" si="2"/>
        <v>88.382696407688726</v>
      </c>
      <c r="H21">
        <f t="shared" si="2"/>
        <v>88.660388645325938</v>
      </c>
      <c r="I21">
        <f t="shared" si="2"/>
        <v>73.933028255009688</v>
      </c>
      <c r="J21">
        <f t="shared" si="2"/>
        <v>75.308662394030947</v>
      </c>
      <c r="K21">
        <f t="shared" si="2"/>
        <v>73.654765877674009</v>
      </c>
      <c r="L21">
        <f t="shared" si="2"/>
        <v>48.796273132085865</v>
      </c>
      <c r="M21">
        <f t="shared" si="2"/>
        <v>57.54119951456547</v>
      </c>
      <c r="N21">
        <f t="shared" si="2"/>
        <v>52.086147697481465</v>
      </c>
      <c r="O21">
        <f t="shared" si="2"/>
        <v>10.656689069323537</v>
      </c>
      <c r="P21">
        <f t="shared" si="2"/>
        <v>13.597732381624631</v>
      </c>
      <c r="Q21">
        <f t="shared" si="2"/>
        <v>11.075822983361299</v>
      </c>
      <c r="R21">
        <f t="shared" si="2"/>
        <v>0.9545059068626176</v>
      </c>
      <c r="S21">
        <f t="shared" si="2"/>
        <v>0.983674506939474</v>
      </c>
      <c r="T21">
        <f t="shared" si="2"/>
        <v>0.9490106046410931</v>
      </c>
      <c r="U21">
        <f t="shared" si="2"/>
        <v>92.228373086076445</v>
      </c>
      <c r="V21">
        <f t="shared" si="2"/>
        <v>99.035416303183041</v>
      </c>
      <c r="W21">
        <f t="shared" si="2"/>
        <v>98.083769326639725</v>
      </c>
      <c r="X21">
        <f t="shared" si="2"/>
        <v>88.261570759244321</v>
      </c>
      <c r="Y21">
        <f t="shared" si="2"/>
        <v>89.390043957039552</v>
      </c>
      <c r="Z21">
        <f t="shared" si="2"/>
        <v>88.355431285250049</v>
      </c>
      <c r="AA21">
        <f t="shared" si="2"/>
        <v>80.523108253172609</v>
      </c>
      <c r="AB21">
        <f t="shared" si="2"/>
        <v>80.209444863368518</v>
      </c>
      <c r="AC21">
        <f t="shared" si="2"/>
        <v>80.443447481684714</v>
      </c>
      <c r="AD21">
        <f t="shared" si="2"/>
        <v>73.895568100402841</v>
      </c>
      <c r="AE21">
        <f t="shared" si="2"/>
        <v>74.212556729949185</v>
      </c>
      <c r="AF21">
        <f t="shared" si="2"/>
        <v>74.617167516811136</v>
      </c>
      <c r="AG21">
        <f t="shared" si="2"/>
        <v>64.870025203731714</v>
      </c>
      <c r="AH21">
        <f t="shared" si="2"/>
        <v>66.163017074302459</v>
      </c>
      <c r="AI21">
        <f t="shared" si="2"/>
        <v>66.768694952389566</v>
      </c>
      <c r="AJ21">
        <f t="shared" si="2"/>
        <v>32.956652518064296</v>
      </c>
      <c r="AK21">
        <f t="shared" si="2"/>
        <v>33.19957548973666</v>
      </c>
      <c r="AL21">
        <f t="shared" si="2"/>
        <v>33.234941460957259</v>
      </c>
    </row>
    <row r="23" spans="1:39" x14ac:dyDescent="0.25">
      <c r="A23" t="s">
        <v>59</v>
      </c>
    </row>
    <row r="24" spans="1:39" x14ac:dyDescent="0.25">
      <c r="A24" t="s">
        <v>53</v>
      </c>
      <c r="B24" t="s">
        <v>54</v>
      </c>
      <c r="C24" t="s">
        <v>2</v>
      </c>
      <c r="D24" t="s">
        <v>5</v>
      </c>
      <c r="E24" t="s">
        <v>8</v>
      </c>
      <c r="F24" t="s">
        <v>11</v>
      </c>
      <c r="G24" t="s">
        <v>14</v>
      </c>
      <c r="H24" t="s">
        <v>17</v>
      </c>
      <c r="I24" t="s">
        <v>3</v>
      </c>
      <c r="J24" t="s">
        <v>6</v>
      </c>
      <c r="K24" t="s">
        <v>9</v>
      </c>
      <c r="L24" t="s">
        <v>12</v>
      </c>
      <c r="M24" t="s">
        <v>15</v>
      </c>
      <c r="N24" t="s">
        <v>18</v>
      </c>
      <c r="O24" t="s">
        <v>4</v>
      </c>
      <c r="P24" t="s">
        <v>7</v>
      </c>
      <c r="Q24" t="s">
        <v>10</v>
      </c>
      <c r="R24" t="s">
        <v>13</v>
      </c>
      <c r="S24" t="s">
        <v>16</v>
      </c>
      <c r="T24" t="s">
        <v>19</v>
      </c>
      <c r="U24" t="s">
        <v>47</v>
      </c>
      <c r="V24" t="s">
        <v>20</v>
      </c>
      <c r="W24" t="s">
        <v>23</v>
      </c>
      <c r="X24" t="s">
        <v>26</v>
      </c>
      <c r="Y24" t="s">
        <v>29</v>
      </c>
      <c r="Z24" t="s">
        <v>32</v>
      </c>
      <c r="AA24" t="s">
        <v>35</v>
      </c>
      <c r="AB24" t="s">
        <v>21</v>
      </c>
      <c r="AC24" t="s">
        <v>24</v>
      </c>
      <c r="AD24" t="s">
        <v>27</v>
      </c>
      <c r="AE24" t="s">
        <v>30</v>
      </c>
      <c r="AF24" t="s">
        <v>33</v>
      </c>
      <c r="AG24" t="s">
        <v>36</v>
      </c>
      <c r="AH24" t="s">
        <v>22</v>
      </c>
      <c r="AI24" t="s">
        <v>25</v>
      </c>
      <c r="AJ24" t="s">
        <v>28</v>
      </c>
      <c r="AK24" t="s">
        <v>31</v>
      </c>
      <c r="AL24" t="s">
        <v>34</v>
      </c>
      <c r="AM24" t="s">
        <v>37</v>
      </c>
    </row>
    <row r="25" spans="1:39" x14ac:dyDescent="0.25">
      <c r="A25" t="s">
        <v>38</v>
      </c>
      <c r="B25">
        <v>218170.48</v>
      </c>
      <c r="C25">
        <v>247971.88</v>
      </c>
      <c r="D25">
        <v>3823937.25</v>
      </c>
      <c r="E25">
        <v>7799659.5</v>
      </c>
      <c r="F25">
        <v>11114223</v>
      </c>
      <c r="G25">
        <v>1603662.38</v>
      </c>
      <c r="H25">
        <v>536523.62</v>
      </c>
      <c r="I25">
        <v>253545.5</v>
      </c>
      <c r="J25">
        <v>4255629.5</v>
      </c>
      <c r="K25">
        <v>8666772</v>
      </c>
      <c r="L25">
        <v>10674797</v>
      </c>
      <c r="M25">
        <v>1554387.38</v>
      </c>
      <c r="N25">
        <v>495216</v>
      </c>
      <c r="O25">
        <v>236497.5</v>
      </c>
      <c r="P25">
        <v>4456970.5</v>
      </c>
      <c r="Q25">
        <v>7802914</v>
      </c>
      <c r="R25">
        <v>11621781</v>
      </c>
      <c r="S25">
        <v>1509465.5</v>
      </c>
      <c r="T25">
        <v>423524.41</v>
      </c>
      <c r="U25">
        <v>161165.92000000001</v>
      </c>
      <c r="V25">
        <v>286099.44</v>
      </c>
      <c r="W25">
        <v>5023211.5</v>
      </c>
      <c r="X25">
        <v>17077334</v>
      </c>
      <c r="Y25">
        <v>22095214</v>
      </c>
      <c r="Z25">
        <v>25855306</v>
      </c>
      <c r="AA25">
        <v>5865200.5</v>
      </c>
      <c r="AB25">
        <v>275521.34000000003</v>
      </c>
      <c r="AC25">
        <v>4817842</v>
      </c>
      <c r="AD25">
        <v>14413423</v>
      </c>
      <c r="AE25">
        <v>21916640</v>
      </c>
      <c r="AF25">
        <v>26551430</v>
      </c>
      <c r="AG25">
        <v>6125188</v>
      </c>
      <c r="AH25">
        <v>266449.34000000003</v>
      </c>
      <c r="AI25">
        <v>2579017.25</v>
      </c>
      <c r="AJ25">
        <v>16887026</v>
      </c>
      <c r="AK25">
        <v>21867260</v>
      </c>
      <c r="AL25">
        <v>26259150</v>
      </c>
      <c r="AM25">
        <v>6276928</v>
      </c>
    </row>
    <row r="26" spans="1:39" x14ac:dyDescent="0.25">
      <c r="A26" t="s">
        <v>39</v>
      </c>
      <c r="B26">
        <v>11292691</v>
      </c>
      <c r="C26">
        <v>13429135</v>
      </c>
      <c r="D26">
        <v>13954539</v>
      </c>
      <c r="E26">
        <v>11840577</v>
      </c>
      <c r="F26">
        <v>10499928</v>
      </c>
      <c r="G26">
        <v>11887984</v>
      </c>
      <c r="H26">
        <v>11950065</v>
      </c>
      <c r="I26">
        <v>13606864</v>
      </c>
      <c r="J26">
        <v>12765671</v>
      </c>
      <c r="K26">
        <v>11921971</v>
      </c>
      <c r="L26">
        <v>9868902</v>
      </c>
      <c r="M26">
        <v>11175843</v>
      </c>
      <c r="N26">
        <v>10946521</v>
      </c>
      <c r="O26">
        <v>13828891</v>
      </c>
      <c r="P26">
        <v>13338457</v>
      </c>
      <c r="Q26">
        <v>11486692</v>
      </c>
      <c r="R26">
        <v>10424923</v>
      </c>
      <c r="S26">
        <v>10779365</v>
      </c>
      <c r="T26">
        <v>11489140</v>
      </c>
      <c r="U26">
        <v>0</v>
      </c>
      <c r="V26">
        <v>15367351</v>
      </c>
      <c r="W26">
        <v>12089603</v>
      </c>
      <c r="X26">
        <v>9690724</v>
      </c>
      <c r="Y26">
        <v>8137892.5</v>
      </c>
      <c r="Z26">
        <v>7222182.5</v>
      </c>
      <c r="AA26">
        <v>9429259</v>
      </c>
      <c r="AB26">
        <v>14469256</v>
      </c>
      <c r="AC26">
        <v>12865592</v>
      </c>
      <c r="AD26">
        <v>9702847</v>
      </c>
      <c r="AE26">
        <v>8409059</v>
      </c>
      <c r="AF26">
        <v>7562240</v>
      </c>
      <c r="AG26">
        <v>10031029</v>
      </c>
      <c r="AH26">
        <v>13728997</v>
      </c>
      <c r="AI26">
        <v>12944069</v>
      </c>
      <c r="AJ26">
        <v>9404040</v>
      </c>
      <c r="AK26">
        <v>8580393</v>
      </c>
      <c r="AL26">
        <v>7374723.5</v>
      </c>
      <c r="AM26">
        <v>7851007.5</v>
      </c>
    </row>
    <row r="27" spans="1:39" x14ac:dyDescent="0.25">
      <c r="A27" t="s">
        <v>40</v>
      </c>
      <c r="B27">
        <v>280262.75</v>
      </c>
      <c r="C27">
        <v>351231.38</v>
      </c>
      <c r="D27">
        <v>373658.75</v>
      </c>
      <c r="E27">
        <v>327906.03000000003</v>
      </c>
      <c r="F27">
        <v>256723.92</v>
      </c>
      <c r="G27">
        <v>319632.03000000003</v>
      </c>
      <c r="H27">
        <v>327977.88</v>
      </c>
      <c r="I27">
        <v>349503.34</v>
      </c>
      <c r="J27">
        <v>314348.84000000003</v>
      </c>
      <c r="K27">
        <v>306983.75</v>
      </c>
      <c r="L27">
        <v>285050.62</v>
      </c>
      <c r="M27">
        <v>292267.34000000003</v>
      </c>
      <c r="N27">
        <v>285848.56</v>
      </c>
      <c r="O27">
        <v>367601.5</v>
      </c>
      <c r="P27">
        <v>352516.12</v>
      </c>
      <c r="Q27">
        <v>292286.46999999997</v>
      </c>
      <c r="R27">
        <v>255759.02</v>
      </c>
      <c r="S27">
        <v>290391.53000000003</v>
      </c>
      <c r="T27">
        <v>290852.21999999997</v>
      </c>
      <c r="U27">
        <v>0</v>
      </c>
      <c r="V27">
        <v>422176.53</v>
      </c>
      <c r="W27">
        <v>318032</v>
      </c>
      <c r="X27">
        <v>212553.48</v>
      </c>
      <c r="Y27">
        <v>185613.11</v>
      </c>
      <c r="Z27">
        <v>182390.55</v>
      </c>
      <c r="AA27">
        <v>241434.75</v>
      </c>
      <c r="AB27">
        <v>384540.03</v>
      </c>
      <c r="AC27">
        <v>315665.46999999997</v>
      </c>
      <c r="AD27">
        <v>224696.38</v>
      </c>
      <c r="AE27">
        <v>205687.44</v>
      </c>
      <c r="AF27">
        <v>162944.70000000001</v>
      </c>
      <c r="AG27">
        <v>276550.96999999997</v>
      </c>
      <c r="AH27">
        <v>368135.09</v>
      </c>
      <c r="AI27">
        <v>334420.53000000003</v>
      </c>
      <c r="AJ27">
        <v>238879.45</v>
      </c>
      <c r="AK27">
        <v>229441.58</v>
      </c>
      <c r="AL27">
        <v>182347.64</v>
      </c>
      <c r="AM27">
        <v>184978.42</v>
      </c>
    </row>
    <row r="28" spans="1:39" x14ac:dyDescent="0.25">
      <c r="A28" t="s">
        <v>48</v>
      </c>
      <c r="B28">
        <v>0</v>
      </c>
      <c r="C28">
        <v>0</v>
      </c>
      <c r="D28">
        <v>0</v>
      </c>
      <c r="E28">
        <v>8957.61</v>
      </c>
      <c r="F28">
        <v>0</v>
      </c>
      <c r="G28">
        <v>0</v>
      </c>
      <c r="H28">
        <v>0</v>
      </c>
      <c r="I28">
        <v>14730.51</v>
      </c>
      <c r="J28">
        <v>8964.26</v>
      </c>
      <c r="K28">
        <v>0</v>
      </c>
      <c r="L28">
        <v>6386.22</v>
      </c>
      <c r="M28">
        <v>4387.95</v>
      </c>
      <c r="N28">
        <v>0</v>
      </c>
      <c r="O28">
        <v>5317.71</v>
      </c>
      <c r="P28">
        <v>3968.42</v>
      </c>
      <c r="Q28">
        <v>0</v>
      </c>
      <c r="R28">
        <v>0</v>
      </c>
      <c r="S28">
        <v>3718.22</v>
      </c>
      <c r="T28">
        <v>0</v>
      </c>
      <c r="U28">
        <v>5207.91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7071.29</v>
      </c>
      <c r="AI28">
        <v>0</v>
      </c>
      <c r="AJ28">
        <v>3944.69</v>
      </c>
      <c r="AK28">
        <v>0</v>
      </c>
      <c r="AL28">
        <v>0</v>
      </c>
      <c r="AM28">
        <v>0</v>
      </c>
    </row>
    <row r="29" spans="1:39" x14ac:dyDescent="0.25">
      <c r="A29" t="s">
        <v>58</v>
      </c>
      <c r="B29">
        <f>B25/(B26-(B25*$C$34))</f>
        <v>1.932375106195092E-2</v>
      </c>
      <c r="C29">
        <f>C25/(C26-(C25*$C$34))</f>
        <v>1.8468991359528071E-2</v>
      </c>
      <c r="D29">
        <f>D25/(D26-(D25*$C$34))</f>
        <v>0.27486199501727787</v>
      </c>
      <c r="E29">
        <f>E25/(E26-(E25*$C$34))</f>
        <v>0.66356165697388636</v>
      </c>
      <c r="F29">
        <f>F25/(F26-(F25*$C$34))</f>
        <v>1.0710549303564201</v>
      </c>
      <c r="G29">
        <f>G25/(G26-(G25*$C$34))</f>
        <v>0.13509950380900529</v>
      </c>
      <c r="H29">
        <f>H25/(H26-(H25*$C$34))</f>
        <v>4.4919455321872255E-2</v>
      </c>
      <c r="I29">
        <f>I25/(I26-(I25*$C$34))</f>
        <v>1.8637491398052718E-2</v>
      </c>
      <c r="J29">
        <f>J25/(J26-(J25*$C$34))</f>
        <v>0.33459991576813319</v>
      </c>
      <c r="K29">
        <f>K25/(K26-(K25*$C$34))</f>
        <v>0.73285558396886707</v>
      </c>
      <c r="L29">
        <f>L25/(L26-(L25*$C$34))</f>
        <v>1.0947687828005535</v>
      </c>
      <c r="M29">
        <f>M25/(M26-(M25*$C$34))</f>
        <v>0.13929904958936301</v>
      </c>
      <c r="N29">
        <f>N25/(N26-(N25*$C$34))</f>
        <v>4.5262246287686533E-2</v>
      </c>
      <c r="O29">
        <f>O25/(O26-(O25*$C$34))</f>
        <v>1.7104934964570159E-2</v>
      </c>
      <c r="P29">
        <f>P25/(P26-(P25*$C$34))</f>
        <v>0.3353849658887188</v>
      </c>
      <c r="Q29">
        <f>Q25/(Q26-(Q25*$C$34))</f>
        <v>0.68444730351933425</v>
      </c>
      <c r="R29">
        <f>R25/(R26-(R25*$C$34))</f>
        <v>1.1287370213252965</v>
      </c>
      <c r="S29">
        <f>S25/(S26-(S25*$C$34))</f>
        <v>0.14025028857448357</v>
      </c>
      <c r="T29">
        <f>T25/(T26-(T25*$C$34))</f>
        <v>3.6878070047440162E-2</v>
      </c>
      <c r="U29">
        <f>U25/(U26-(U25*$C$34))</f>
        <v>-90.334236675700097</v>
      </c>
      <c r="V29">
        <f>V25/(V26-(V25*$C$34))</f>
        <v>1.8621193435945253E-2</v>
      </c>
      <c r="W29">
        <f>W25/(W26-(W25*$C$34))</f>
        <v>0.41741841028315202</v>
      </c>
      <c r="X29">
        <f>X25/(X26-(X25*$C$34))</f>
        <v>1.7972966624471785</v>
      </c>
      <c r="Y29">
        <f>Y25/(Y26-(Y25*$C$34))</f>
        <v>2.799237106404822</v>
      </c>
      <c r="Z29">
        <f>Z25/(Z26-(Z25*$C$34))</f>
        <v>3.7277161503687584</v>
      </c>
      <c r="AA29">
        <f>AA25/(AA26-(AA25*$C$34))</f>
        <v>0.62633415624158295</v>
      </c>
      <c r="AB29">
        <f>AB25/(AB26-(AB25*$C$34))</f>
        <v>1.9045860428395393E-2</v>
      </c>
      <c r="AC29">
        <f>AC25/(AC26-(AC25*$C$34))</f>
        <v>0.37603378078219463</v>
      </c>
      <c r="AD29">
        <f>AD25/(AD26-(AD25*$C$34))</f>
        <v>1.5103200662151846</v>
      </c>
      <c r="AE29">
        <f>AE25/(AE26-(AE25*$C$34))</f>
        <v>2.6837441017313037</v>
      </c>
      <c r="AF29">
        <f>AF25/(AF26-(AF25*$C$34))</f>
        <v>3.6530375407271358</v>
      </c>
      <c r="AG29">
        <f>AG25/(AG26-(AG25*$C$34))</f>
        <v>0.61477976516239619</v>
      </c>
      <c r="AH29">
        <f>AH25/(AH26-(AH25*$C$34))</f>
        <v>1.9411949567308819E-2</v>
      </c>
      <c r="AI29">
        <f>AI25/(AI26-(AI25*$C$34))</f>
        <v>0.19968358950807877</v>
      </c>
      <c r="AJ29">
        <f>AJ25/(AJ26-(AJ25*$C$34))</f>
        <v>1.8321407883258991</v>
      </c>
      <c r="AK29">
        <f>AK25/(AK26-(AK25*$C$34))</f>
        <v>2.6225011300359964</v>
      </c>
      <c r="AL29">
        <f>AL25/(AL26-(AL25*$C$34))</f>
        <v>3.7068070777215891</v>
      </c>
      <c r="AM29">
        <f>AM25/(AM26-(AM25*$C$34))</f>
        <v>0.80664529059813062</v>
      </c>
    </row>
    <row r="30" spans="1:39" x14ac:dyDescent="0.25">
      <c r="A30" t="s">
        <v>57</v>
      </c>
      <c r="B30">
        <f>B29-$B29</f>
        <v>0</v>
      </c>
      <c r="C30">
        <f>C29-$B29</f>
        <v>-8.5475970242284913E-4</v>
      </c>
      <c r="D30">
        <f>D29-$B29</f>
        <v>0.25553824395532693</v>
      </c>
      <c r="E30">
        <f>E29-$B29</f>
        <v>0.64423790591193542</v>
      </c>
      <c r="F30">
        <f>F29-$B29</f>
        <v>1.0517311792944692</v>
      </c>
      <c r="G30">
        <f>G29-$B29</f>
        <v>0.11577575274705437</v>
      </c>
      <c r="H30">
        <f>H29-$B29</f>
        <v>2.5595704259921335E-2</v>
      </c>
      <c r="I30">
        <f>I29-$B29</f>
        <v>-6.8625966389820187E-4</v>
      </c>
      <c r="J30">
        <f>J29-$B29</f>
        <v>0.31527616470618225</v>
      </c>
      <c r="K30">
        <f>K29-$B29</f>
        <v>0.71353183290691613</v>
      </c>
      <c r="L30">
        <f>L29-$B29</f>
        <v>1.0754450317386026</v>
      </c>
      <c r="M30">
        <f>M29-$B29</f>
        <v>0.11997529852741209</v>
      </c>
      <c r="N30">
        <f>N29-$B29</f>
        <v>2.5938495225735613E-2</v>
      </c>
      <c r="O30">
        <f>O29-$B29</f>
        <v>-2.2188160973807616E-3</v>
      </c>
      <c r="P30">
        <f>P29-$B29</f>
        <v>0.31606121482676786</v>
      </c>
      <c r="Q30">
        <f>Q29-$B29</f>
        <v>0.6651235524573833</v>
      </c>
      <c r="R30">
        <f>R29-$B29</f>
        <v>1.1094132702633457</v>
      </c>
      <c r="S30">
        <f>S29-$B29</f>
        <v>0.12092653751253266</v>
      </c>
      <c r="T30">
        <f>T29-$B29</f>
        <v>1.7554318985489242E-2</v>
      </c>
      <c r="U30">
        <f>U29-$B29</f>
        <v>-90.353560426762044</v>
      </c>
      <c r="V30">
        <f>V29-$B29</f>
        <v>-7.0255762600566693E-4</v>
      </c>
      <c r="W30">
        <f>W29-$B29</f>
        <v>0.39809465922120107</v>
      </c>
      <c r="X30">
        <f>X29-$B29</f>
        <v>1.7779729113852276</v>
      </c>
      <c r="Y30">
        <f>Y29-$B29</f>
        <v>2.7799133553428712</v>
      </c>
      <c r="Z30">
        <f>Z29-$B29</f>
        <v>3.7083923993068075</v>
      </c>
      <c r="AA30">
        <f>AA29-$B29</f>
        <v>0.60701040517963201</v>
      </c>
      <c r="AB30">
        <f>AB29-$B29</f>
        <v>-2.7789063355552687E-4</v>
      </c>
      <c r="AC30">
        <f>AC29-$B29</f>
        <v>0.35671002972024368</v>
      </c>
      <c r="AD30">
        <f>AD29-$B29</f>
        <v>1.4909963151532337</v>
      </c>
      <c r="AE30">
        <f>AE29-$B29</f>
        <v>2.6644203506693529</v>
      </c>
      <c r="AF30">
        <f>AF29-$B29</f>
        <v>3.633713789665185</v>
      </c>
      <c r="AG30">
        <f>AG29-$B29</f>
        <v>0.59545601410044524</v>
      </c>
      <c r="AH30">
        <f>AH29-$B29</f>
        <v>8.8198505357899026E-5</v>
      </c>
      <c r="AI30">
        <f>AI29-$B29</f>
        <v>0.18035983844612785</v>
      </c>
      <c r="AJ30">
        <f>AJ29-$B29</f>
        <v>1.8128170372639483</v>
      </c>
      <c r="AK30">
        <f>AK29-$B29</f>
        <v>2.6031773789740456</v>
      </c>
      <c r="AL30">
        <f>AL29-$B29</f>
        <v>3.6874833266596383</v>
      </c>
      <c r="AM30">
        <f>AM29-$B29</f>
        <v>0.78732153953617967</v>
      </c>
    </row>
    <row r="31" spans="1:39" x14ac:dyDescent="0.25">
      <c r="A31" t="s">
        <v>60</v>
      </c>
      <c r="B31">
        <f>B30*0.1</f>
        <v>0</v>
      </c>
      <c r="C31">
        <f>C30*0.1</f>
        <v>-8.5475970242284915E-5</v>
      </c>
      <c r="D31">
        <f>D30*0.1</f>
        <v>2.5553824395532693E-2</v>
      </c>
      <c r="E31">
        <f>E30*0.1</f>
        <v>6.4423790591193547E-2</v>
      </c>
      <c r="F31">
        <f>F30*0.1</f>
        <v>0.10517311792944693</v>
      </c>
      <c r="G31">
        <f>G30*0.1</f>
        <v>1.1577575274705439E-2</v>
      </c>
      <c r="H31">
        <f>H30*0.1</f>
        <v>2.5595704259921337E-3</v>
      </c>
      <c r="I31">
        <f>I30*0.1</f>
        <v>-6.8625966389820192E-5</v>
      </c>
      <c r="J31">
        <f>J30*0.1</f>
        <v>3.1527616470618226E-2</v>
      </c>
      <c r="K31">
        <f>K30*0.1</f>
        <v>7.135318329069161E-2</v>
      </c>
      <c r="L31">
        <f>L30*0.1</f>
        <v>0.10754450317386027</v>
      </c>
      <c r="M31">
        <f>M30*0.1</f>
        <v>1.1997529852741211E-2</v>
      </c>
      <c r="N31">
        <f>N30*0.1</f>
        <v>2.5938495225735613E-3</v>
      </c>
      <c r="O31">
        <f>O30*0.1</f>
        <v>-2.2188160973807616E-4</v>
      </c>
      <c r="P31">
        <f>P30*0.1</f>
        <v>3.1606121482676788E-2</v>
      </c>
      <c r="Q31">
        <f>Q30*0.1</f>
        <v>6.6512355245738328E-2</v>
      </c>
      <c r="R31">
        <f>R30*0.1</f>
        <v>0.11094132702633458</v>
      </c>
      <c r="S31">
        <f>S30*0.1</f>
        <v>1.2092653751253266E-2</v>
      </c>
      <c r="T31">
        <f>T30*0.1</f>
        <v>1.7554318985489243E-3</v>
      </c>
      <c r="U31">
        <f>U30*0.1</f>
        <v>-9.0353560426762041</v>
      </c>
      <c r="V31">
        <f>V30*0.1</f>
        <v>-7.025576260056669E-5</v>
      </c>
      <c r="W31">
        <f>W30*0.1</f>
        <v>3.9809465922120112E-2</v>
      </c>
      <c r="X31">
        <f>X30*0.1</f>
        <v>0.17779729113852277</v>
      </c>
      <c r="Y31">
        <f>Y30*0.1</f>
        <v>0.27799133553428712</v>
      </c>
      <c r="Z31">
        <f>Z30*0.1</f>
        <v>0.3708392399306808</v>
      </c>
      <c r="AA31">
        <f>AA30*0.1</f>
        <v>6.0701040517963205E-2</v>
      </c>
      <c r="AB31">
        <f>AB30*0.1</f>
        <v>-2.7789063355552688E-5</v>
      </c>
      <c r="AC31">
        <f>AC30*0.1</f>
        <v>3.5671002972024371E-2</v>
      </c>
      <c r="AD31">
        <f>AD30*0.1</f>
        <v>0.14909963151532338</v>
      </c>
      <c r="AE31">
        <f>AE30*0.1</f>
        <v>0.26644203506693531</v>
      </c>
      <c r="AF31">
        <f>AF30*0.1</f>
        <v>0.3633713789665185</v>
      </c>
      <c r="AG31">
        <f>AG30*0.1</f>
        <v>5.954560141004453E-2</v>
      </c>
      <c r="AH31">
        <f>AH30*0.1</f>
        <v>8.819850535789903E-6</v>
      </c>
      <c r="AI31">
        <f>AI30*0.1</f>
        <v>1.8035983844612784E-2</v>
      </c>
      <c r="AJ31">
        <f>AJ30*0.1</f>
        <v>0.18128170372639485</v>
      </c>
      <c r="AK31">
        <f>AK30*0.1</f>
        <v>0.26031773789740459</v>
      </c>
      <c r="AL31">
        <f>AL30*0.1</f>
        <v>0.36874833266596385</v>
      </c>
      <c r="AM31">
        <f>AM30*0.1</f>
        <v>7.8732153953617975E-2</v>
      </c>
    </row>
    <row r="33" spans="2:3" x14ac:dyDescent="0.25">
      <c r="B33" t="s">
        <v>55</v>
      </c>
    </row>
    <row r="34" spans="2:3" x14ac:dyDescent="0.25">
      <c r="B34" t="s">
        <v>56</v>
      </c>
      <c r="C34">
        <v>1.107E-2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Amador-Noguez Lab</dc:creator>
  <cp:lastModifiedBy>Amador-Noguez Lab</cp:lastModifiedBy>
  <dcterms:created xsi:type="dcterms:W3CDTF">2019-01-25T20:24:18Z</dcterms:created>
  <dcterms:modified xsi:type="dcterms:W3CDTF">2019-01-25T21:44:11Z</dcterms:modified>
</cp:coreProperties>
</file>