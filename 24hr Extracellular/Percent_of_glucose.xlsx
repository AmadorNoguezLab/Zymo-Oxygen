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24hr Extracellular\"/>
    </mc:Choice>
  </mc:AlternateContent>
  <bookViews>
    <workbookView xWindow="0" yWindow="0" windowWidth="2748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41" i="1"/>
  <c r="I42" i="1"/>
  <c r="I43" i="1"/>
  <c r="I44" i="1"/>
  <c r="I39" i="1"/>
  <c r="I80" i="1"/>
  <c r="I79" i="1"/>
  <c r="I78" i="1"/>
  <c r="I77" i="1"/>
  <c r="I76" i="1"/>
  <c r="I75" i="1"/>
  <c r="I71" i="1"/>
  <c r="I70" i="1"/>
  <c r="I69" i="1"/>
  <c r="I68" i="1"/>
  <c r="I67" i="1"/>
  <c r="I66" i="1"/>
  <c r="I62" i="1"/>
  <c r="I61" i="1"/>
  <c r="I60" i="1"/>
  <c r="I59" i="1"/>
  <c r="I58" i="1"/>
  <c r="I57" i="1"/>
  <c r="I53" i="1"/>
  <c r="I52" i="1"/>
  <c r="I51" i="1"/>
  <c r="I50" i="1"/>
  <c r="I49" i="1"/>
  <c r="I48" i="1"/>
  <c r="I26" i="1"/>
  <c r="I25" i="1"/>
  <c r="I24" i="1"/>
  <c r="I23" i="1"/>
  <c r="I22" i="1"/>
  <c r="I21" i="1"/>
  <c r="I17" i="1"/>
  <c r="I16" i="1"/>
  <c r="I15" i="1"/>
  <c r="I14" i="1"/>
  <c r="I13" i="1"/>
  <c r="I12" i="1"/>
  <c r="I8" i="1"/>
  <c r="I7" i="1"/>
  <c r="I6" i="1"/>
  <c r="I5" i="1"/>
  <c r="I4" i="1"/>
  <c r="I3" i="1"/>
  <c r="G62" i="1"/>
  <c r="G58" i="1"/>
  <c r="G59" i="1"/>
  <c r="G60" i="1"/>
  <c r="G61" i="1"/>
  <c r="G57" i="1"/>
  <c r="E31" i="1"/>
  <c r="E32" i="1"/>
  <c r="E33" i="1"/>
  <c r="E34" i="1"/>
  <c r="E35" i="1"/>
  <c r="E30" i="1"/>
  <c r="E4" i="1"/>
  <c r="E5" i="1"/>
  <c r="E6" i="1"/>
  <c r="E7" i="1"/>
  <c r="E8" i="1"/>
  <c r="E12" i="1"/>
  <c r="E13" i="1"/>
  <c r="E14" i="1"/>
  <c r="E15" i="1"/>
  <c r="E16" i="1"/>
  <c r="E17" i="1"/>
  <c r="E21" i="1"/>
  <c r="E22" i="1"/>
  <c r="E23" i="1"/>
  <c r="E24" i="1"/>
  <c r="E25" i="1"/>
  <c r="E26" i="1"/>
  <c r="E39" i="1"/>
  <c r="E40" i="1"/>
  <c r="E41" i="1"/>
  <c r="E42" i="1"/>
  <c r="E43" i="1"/>
  <c r="E44" i="1"/>
  <c r="E48" i="1"/>
  <c r="E49" i="1"/>
  <c r="E50" i="1"/>
  <c r="E51" i="1"/>
  <c r="E52" i="1"/>
  <c r="E53" i="1"/>
  <c r="E57" i="1"/>
  <c r="E58" i="1"/>
  <c r="E59" i="1"/>
  <c r="E60" i="1"/>
  <c r="E61" i="1"/>
  <c r="E62" i="1"/>
  <c r="E66" i="1"/>
  <c r="E67" i="1"/>
  <c r="E68" i="1"/>
  <c r="E69" i="1"/>
  <c r="E70" i="1"/>
  <c r="E71" i="1"/>
  <c r="E75" i="1"/>
  <c r="E76" i="1"/>
  <c r="E77" i="1"/>
  <c r="E78" i="1"/>
  <c r="E79" i="1"/>
  <c r="E80" i="1"/>
  <c r="E3" i="1"/>
</calcChain>
</file>

<file path=xl/sharedStrings.xml><?xml version="1.0" encoding="utf-8"?>
<sst xmlns="http://schemas.openxmlformats.org/spreadsheetml/2006/main" count="69" uniqueCount="22">
  <si>
    <t>EtOH mM</t>
  </si>
  <si>
    <t>An A</t>
  </si>
  <si>
    <t>An B</t>
  </si>
  <si>
    <t>An C</t>
  </si>
  <si>
    <t>O2 A</t>
  </si>
  <si>
    <t>O2 B</t>
  </si>
  <si>
    <t>O2 C</t>
  </si>
  <si>
    <t>Acetate mM</t>
  </si>
  <si>
    <t>gluconate mM</t>
  </si>
  <si>
    <t xml:space="preserve"> An C</t>
  </si>
  <si>
    <t>glucose mM</t>
  </si>
  <si>
    <t>Biomass OD</t>
  </si>
  <si>
    <t>Pyruvate</t>
  </si>
  <si>
    <t>Shikimate</t>
  </si>
  <si>
    <t>Succinate</t>
  </si>
  <si>
    <t>Lactate</t>
  </si>
  <si>
    <t>moles/glucose</t>
  </si>
  <si>
    <t>Δ concentration</t>
  </si>
  <si>
    <t>gCDW/OD*L</t>
  </si>
  <si>
    <t>% carbon in CDW</t>
  </si>
  <si>
    <t>g carbon/ mol glucose</t>
  </si>
  <si>
    <t>percent carbon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</si>
</sst>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workbookViewId="0">
      <selection activeCell="I48" sqref="I48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E1" s="2" t="s">
        <v>17</v>
      </c>
      <c r="G1" t="s">
        <v>16</v>
      </c>
      <c r="I1" t="s">
        <v>21</v>
      </c>
    </row>
    <row r="2" spans="1:9" x14ac:dyDescent="0.25">
      <c r="B2">
        <v>0</v>
      </c>
      <c r="C2">
        <v>24</v>
      </c>
    </row>
    <row r="3" spans="1:9" x14ac:dyDescent="0.25">
      <c r="A3" t="s">
        <v>1</v>
      </c>
      <c r="B3">
        <v>0.38099999999999995</v>
      </c>
      <c r="C3">
        <v>176.93700000000001</v>
      </c>
      <c r="E3">
        <f>C3-B3</f>
        <v>176.55600000000001</v>
      </c>
      <c r="G3">
        <v>2</v>
      </c>
      <c r="I3">
        <f>E3/G3/E$30</f>
        <v>0.85704687831415405</v>
      </c>
    </row>
    <row r="4" spans="1:9" x14ac:dyDescent="0.25">
      <c r="A4" t="s">
        <v>2</v>
      </c>
      <c r="B4">
        <v>0.66749999999999998</v>
      </c>
      <c r="C4">
        <v>190.06800000000001</v>
      </c>
      <c r="E4">
        <f t="shared" ref="E4:E67" si="0">C4-B4</f>
        <v>189.40050000000002</v>
      </c>
      <c r="G4">
        <v>2</v>
      </c>
      <c r="I4">
        <f>E4/G4/E$31</f>
        <v>0.93250227691640086</v>
      </c>
    </row>
    <row r="5" spans="1:9" x14ac:dyDescent="0.25">
      <c r="A5" t="s">
        <v>3</v>
      </c>
      <c r="B5">
        <v>0.75449999999999995</v>
      </c>
      <c r="C5">
        <v>193.50749999999999</v>
      </c>
      <c r="E5">
        <f t="shared" si="0"/>
        <v>192.75299999999999</v>
      </c>
      <c r="G5">
        <v>2</v>
      </c>
      <c r="I5">
        <f>E5/G5/E$32</f>
        <v>0.98929735142290509</v>
      </c>
    </row>
    <row r="6" spans="1:9" x14ac:dyDescent="0.25">
      <c r="A6" t="s">
        <v>4</v>
      </c>
      <c r="B6">
        <v>1.0499999999999999E-2</v>
      </c>
      <c r="C6">
        <v>38.0625</v>
      </c>
      <c r="E6">
        <f t="shared" si="0"/>
        <v>38.052</v>
      </c>
      <c r="G6">
        <v>2</v>
      </c>
      <c r="I6">
        <f>E6/G6/E$33</f>
        <v>0.3209962494368348</v>
      </c>
    </row>
    <row r="7" spans="1:9" x14ac:dyDescent="0.25">
      <c r="A7" t="s">
        <v>5</v>
      </c>
      <c r="B7">
        <v>-8.8499999999999995E-2</v>
      </c>
      <c r="C7">
        <v>47.125500000000002</v>
      </c>
      <c r="E7">
        <f t="shared" si="0"/>
        <v>47.214000000000006</v>
      </c>
      <c r="G7">
        <v>2</v>
      </c>
      <c r="I7">
        <f>E7/G7/E$34</f>
        <v>0.35857368430811448</v>
      </c>
    </row>
    <row r="8" spans="1:9" x14ac:dyDescent="0.25">
      <c r="A8" t="s">
        <v>6</v>
      </c>
      <c r="B8">
        <v>0.76050000000000006</v>
      </c>
      <c r="C8">
        <v>49.158000000000001</v>
      </c>
      <c r="E8">
        <f t="shared" si="0"/>
        <v>48.397500000000001</v>
      </c>
      <c r="G8">
        <v>2</v>
      </c>
      <c r="I8">
        <f>E8/G8/E$35</f>
        <v>0.37315632057562298</v>
      </c>
    </row>
    <row r="10" spans="1:9" x14ac:dyDescent="0.25">
      <c r="A10" s="1" t="s">
        <v>7</v>
      </c>
      <c r="B10" s="1"/>
      <c r="C10" s="1"/>
    </row>
    <row r="11" spans="1:9" x14ac:dyDescent="0.25">
      <c r="B11">
        <v>0</v>
      </c>
      <c r="C11">
        <v>24</v>
      </c>
    </row>
    <row r="12" spans="1:9" x14ac:dyDescent="0.25">
      <c r="A12" t="s">
        <v>1</v>
      </c>
      <c r="B12">
        <v>8.5500000000000007E-2</v>
      </c>
      <c r="C12">
        <v>0.87450000000000006</v>
      </c>
      <c r="E12">
        <f t="shared" si="0"/>
        <v>0.78900000000000003</v>
      </c>
      <c r="G12">
        <v>2</v>
      </c>
      <c r="I12">
        <f>E12/G12/E$30</f>
        <v>3.8300028715527513E-3</v>
      </c>
    </row>
    <row r="13" spans="1:9" x14ac:dyDescent="0.25">
      <c r="A13" t="s">
        <v>2</v>
      </c>
      <c r="B13">
        <v>6.1500000000000013E-2</v>
      </c>
      <c r="C13">
        <v>0.89400000000000013</v>
      </c>
      <c r="E13">
        <f t="shared" si="0"/>
        <v>0.83250000000000013</v>
      </c>
      <c r="G13">
        <v>2</v>
      </c>
      <c r="I13">
        <f>E13/G13/E$31</f>
        <v>4.0987650271931894E-3</v>
      </c>
    </row>
    <row r="14" spans="1:9" x14ac:dyDescent="0.25">
      <c r="A14" t="s">
        <v>3</v>
      </c>
      <c r="B14">
        <v>3.3000000000000002E-2</v>
      </c>
      <c r="C14">
        <v>0.85724999999999996</v>
      </c>
      <c r="E14">
        <f t="shared" si="0"/>
        <v>0.82424999999999993</v>
      </c>
      <c r="G14">
        <v>2</v>
      </c>
      <c r="I14">
        <f>E14/G14/E$32</f>
        <v>4.2304313910047023E-3</v>
      </c>
    </row>
    <row r="15" spans="1:9" x14ac:dyDescent="0.25">
      <c r="A15" t="s">
        <v>4</v>
      </c>
      <c r="B15">
        <v>-6.7500000000000008E-3</v>
      </c>
      <c r="C15">
        <v>2.8147500000000001</v>
      </c>
      <c r="E15">
        <f t="shared" si="0"/>
        <v>2.8214999999999999</v>
      </c>
      <c r="G15">
        <v>2</v>
      </c>
      <c r="I15">
        <f>E15/G15/E$33</f>
        <v>2.3801401182225096E-2</v>
      </c>
    </row>
    <row r="16" spans="1:9" x14ac:dyDescent="0.25">
      <c r="A16" t="s">
        <v>5</v>
      </c>
      <c r="B16">
        <v>9.9749999999999991E-2</v>
      </c>
      <c r="C16">
        <v>2.7300000000000004</v>
      </c>
      <c r="E16">
        <f t="shared" si="0"/>
        <v>2.6302500000000006</v>
      </c>
      <c r="G16">
        <v>2</v>
      </c>
      <c r="I16">
        <f>E16/G16/E$34</f>
        <v>1.9975821433291359E-2</v>
      </c>
    </row>
    <row r="17" spans="1:9" x14ac:dyDescent="0.25">
      <c r="A17" t="s">
        <v>6</v>
      </c>
      <c r="B17">
        <v>4.5000000000000005E-2</v>
      </c>
      <c r="C17">
        <v>2.6467499999999999</v>
      </c>
      <c r="E17">
        <f t="shared" si="0"/>
        <v>2.60175</v>
      </c>
      <c r="G17">
        <v>2</v>
      </c>
      <c r="I17">
        <f>E17/G17/E$35</f>
        <v>2.0060115854282291E-2</v>
      </c>
    </row>
    <row r="19" spans="1:9" x14ac:dyDescent="0.25">
      <c r="A19" s="1" t="s">
        <v>8</v>
      </c>
      <c r="B19" s="1"/>
      <c r="C19" s="1"/>
    </row>
    <row r="20" spans="1:9" x14ac:dyDescent="0.25">
      <c r="B20">
        <v>0</v>
      </c>
      <c r="C20">
        <v>24</v>
      </c>
    </row>
    <row r="21" spans="1:9" x14ac:dyDescent="0.25">
      <c r="A21" t="s">
        <v>1</v>
      </c>
      <c r="B21">
        <v>1.3415621390245587E-2</v>
      </c>
      <c r="C21">
        <v>1.841978904489134E-2</v>
      </c>
      <c r="E21">
        <f t="shared" si="0"/>
        <v>5.0041676546457529E-3</v>
      </c>
      <c r="G21">
        <v>1</v>
      </c>
      <c r="I21">
        <f>E21/G21/E$30</f>
        <v>4.8582956874587144E-5</v>
      </c>
    </row>
    <row r="22" spans="1:9" x14ac:dyDescent="0.25">
      <c r="A22" t="s">
        <v>2</v>
      </c>
      <c r="B22">
        <v>1.4748512978704508E-2</v>
      </c>
      <c r="C22">
        <v>2.0896592360050301E-2</v>
      </c>
      <c r="E22">
        <f t="shared" si="0"/>
        <v>6.1480793813457925E-3</v>
      </c>
      <c r="G22">
        <v>1</v>
      </c>
      <c r="I22">
        <f>E22/G22/E$31</f>
        <v>6.0539418024426839E-5</v>
      </c>
    </row>
    <row r="23" spans="1:9" x14ac:dyDescent="0.25">
      <c r="A23" t="s">
        <v>3</v>
      </c>
      <c r="B23">
        <v>1.300956816175068E-2</v>
      </c>
      <c r="C23">
        <v>2.0123920648979315E-2</v>
      </c>
      <c r="E23">
        <f t="shared" si="0"/>
        <v>7.114352487228635E-3</v>
      </c>
      <c r="G23">
        <v>1</v>
      </c>
      <c r="I23">
        <f>E23/G23/E$32</f>
        <v>7.3028280469868135E-5</v>
      </c>
    </row>
    <row r="24" spans="1:9" x14ac:dyDescent="0.25">
      <c r="A24" t="s">
        <v>4</v>
      </c>
      <c r="B24">
        <v>1.4698522453846107E-2</v>
      </c>
      <c r="C24">
        <v>11.424722094826734</v>
      </c>
      <c r="E24">
        <f t="shared" si="0"/>
        <v>11.410023572372888</v>
      </c>
      <c r="G24">
        <v>1</v>
      </c>
      <c r="I24">
        <f>E24/G24/E$33</f>
        <v>0.19250366722997858</v>
      </c>
    </row>
    <row r="25" spans="1:9" x14ac:dyDescent="0.25">
      <c r="A25" t="s">
        <v>5</v>
      </c>
      <c r="B25">
        <v>1.2915322923059103E-2</v>
      </c>
      <c r="C25">
        <v>12.082526017683694</v>
      </c>
      <c r="E25">
        <f t="shared" si="0"/>
        <v>12.069610694760636</v>
      </c>
      <c r="G25">
        <v>1</v>
      </c>
      <c r="I25">
        <f>E25/G25/E$34</f>
        <v>0.1833288759683544</v>
      </c>
    </row>
    <row r="26" spans="1:9" x14ac:dyDescent="0.25">
      <c r="A26" t="s">
        <v>6</v>
      </c>
      <c r="B26">
        <v>1.3278431325352081E-2</v>
      </c>
      <c r="C26">
        <v>11.172454270691704</v>
      </c>
      <c r="E26">
        <f t="shared" si="0"/>
        <v>11.159175839366352</v>
      </c>
      <c r="G26">
        <v>1</v>
      </c>
      <c r="I26">
        <f>E26/G26/E$35</f>
        <v>0.17207983870548427</v>
      </c>
    </row>
    <row r="28" spans="1:9" x14ac:dyDescent="0.25">
      <c r="A28" s="1" t="s">
        <v>10</v>
      </c>
      <c r="B28" s="1"/>
      <c r="C28" s="1"/>
    </row>
    <row r="29" spans="1:9" x14ac:dyDescent="0.25">
      <c r="B29">
        <v>0</v>
      </c>
      <c r="C29">
        <v>24</v>
      </c>
    </row>
    <row r="30" spans="1:9" x14ac:dyDescent="0.25">
      <c r="A30" t="s">
        <v>1</v>
      </c>
      <c r="B30">
        <v>103.95703964649471</v>
      </c>
      <c r="C30">
        <v>0.9545059068626176</v>
      </c>
      <c r="E30">
        <f>B30-C30</f>
        <v>103.00253373963209</v>
      </c>
      <c r="G30">
        <v>1</v>
      </c>
    </row>
    <row r="31" spans="1:9" x14ac:dyDescent="0.25">
      <c r="A31" t="s">
        <v>2</v>
      </c>
      <c r="B31">
        <v>102.53865441879006</v>
      </c>
      <c r="C31">
        <v>0.983674506939474</v>
      </c>
      <c r="E31">
        <f t="shared" ref="E31:E35" si="1">B31-C31</f>
        <v>101.55497991185058</v>
      </c>
      <c r="G31">
        <v>1</v>
      </c>
    </row>
    <row r="32" spans="1:9" x14ac:dyDescent="0.25">
      <c r="A32" t="s">
        <v>3</v>
      </c>
      <c r="B32">
        <v>98.368153455252994</v>
      </c>
      <c r="C32">
        <v>0.9490106046410931</v>
      </c>
      <c r="E32">
        <f t="shared" si="1"/>
        <v>97.419142850611905</v>
      </c>
      <c r="G32">
        <v>1</v>
      </c>
    </row>
    <row r="33" spans="1:12" x14ac:dyDescent="0.25">
      <c r="A33" t="s">
        <v>4</v>
      </c>
      <c r="B33">
        <v>92.228373086076445</v>
      </c>
      <c r="C33">
        <v>32.956652518064296</v>
      </c>
      <c r="E33">
        <f t="shared" si="1"/>
        <v>59.271720568012149</v>
      </c>
      <c r="G33">
        <v>1</v>
      </c>
    </row>
    <row r="34" spans="1:12" x14ac:dyDescent="0.25">
      <c r="A34" t="s">
        <v>5</v>
      </c>
      <c r="B34">
        <v>99.035416303183041</v>
      </c>
      <c r="C34">
        <v>33.19957548973666</v>
      </c>
      <c r="E34">
        <f t="shared" si="1"/>
        <v>65.835840813446382</v>
      </c>
      <c r="G34">
        <v>1</v>
      </c>
    </row>
    <row r="35" spans="1:12" x14ac:dyDescent="0.25">
      <c r="A35" t="s">
        <v>6</v>
      </c>
      <c r="B35">
        <v>98.083769326639725</v>
      </c>
      <c r="C35">
        <v>33.234941460957259</v>
      </c>
      <c r="E35">
        <f t="shared" si="1"/>
        <v>64.848827865682466</v>
      </c>
      <c r="G35">
        <v>1</v>
      </c>
    </row>
    <row r="37" spans="1:12" x14ac:dyDescent="0.25">
      <c r="A37" s="1" t="s">
        <v>11</v>
      </c>
      <c r="B37" s="1"/>
      <c r="C37" s="1"/>
    </row>
    <row r="38" spans="1:12" x14ac:dyDescent="0.25">
      <c r="B38">
        <v>0</v>
      </c>
      <c r="C38">
        <v>24</v>
      </c>
      <c r="L38" t="s">
        <v>18</v>
      </c>
    </row>
    <row r="39" spans="1:12" x14ac:dyDescent="0.25">
      <c r="A39" t="s">
        <v>1</v>
      </c>
      <c r="B39">
        <v>7.3999999999999996E-2</v>
      </c>
      <c r="C39">
        <v>1.36</v>
      </c>
      <c r="E39">
        <f t="shared" si="0"/>
        <v>1.286</v>
      </c>
      <c r="I39">
        <f>E39*$L$39*$L$42/(E30*$L$45/1000)</f>
        <v>3.4241918169410503E-2</v>
      </c>
      <c r="L39">
        <v>0.41139241814398442</v>
      </c>
    </row>
    <row r="40" spans="1:12" x14ac:dyDescent="0.25">
      <c r="A40" t="s">
        <v>2</v>
      </c>
      <c r="B40">
        <v>5.8000000000000003E-2</v>
      </c>
      <c r="C40">
        <v>1.355</v>
      </c>
      <c r="E40">
        <f t="shared" si="0"/>
        <v>1.2969999999999999</v>
      </c>
      <c r="I40">
        <f>E40*$L$39*$L$42/(E31*$L$45/1000)</f>
        <v>3.5027067229717351E-2</v>
      </c>
    </row>
    <row r="41" spans="1:12" x14ac:dyDescent="0.25">
      <c r="A41" t="s">
        <v>9</v>
      </c>
      <c r="B41">
        <v>6.4000000000000001E-2</v>
      </c>
      <c r="C41">
        <v>1.369</v>
      </c>
      <c r="E41">
        <f t="shared" si="0"/>
        <v>1.3049999999999999</v>
      </c>
      <c r="I41">
        <f>E41*$L$39*$L$42/(E32*$L$45/1000)</f>
        <v>3.6739330003560833E-2</v>
      </c>
      <c r="L41" t="s">
        <v>19</v>
      </c>
    </row>
    <row r="42" spans="1:12" x14ac:dyDescent="0.25">
      <c r="A42" t="s">
        <v>4</v>
      </c>
      <c r="B42">
        <v>6.2E-2</v>
      </c>
      <c r="C42">
        <v>0.56799999999999995</v>
      </c>
      <c r="E42">
        <f t="shared" si="0"/>
        <v>0.50600000000000001</v>
      </c>
      <c r="I42">
        <f>E42*$L$39*$L$42/(E33*$L$45/1000)</f>
        <v>2.3413589885809008E-2</v>
      </c>
      <c r="L42">
        <v>0.48</v>
      </c>
    </row>
    <row r="43" spans="1:12" x14ac:dyDescent="0.25">
      <c r="A43" t="s">
        <v>5</v>
      </c>
      <c r="B43">
        <v>6.2E-2</v>
      </c>
      <c r="C43">
        <v>0.56699999999999995</v>
      </c>
      <c r="E43">
        <f t="shared" si="0"/>
        <v>0.50499999999999989</v>
      </c>
      <c r="I43">
        <f>E43*$L$39*$L$42/(E34*$L$45/1000)</f>
        <v>2.1037494531426552E-2</v>
      </c>
    </row>
    <row r="44" spans="1:12" x14ac:dyDescent="0.25">
      <c r="A44" t="s">
        <v>6</v>
      </c>
      <c r="B44">
        <v>6.7000000000000004E-2</v>
      </c>
      <c r="C44">
        <v>0.56000000000000005</v>
      </c>
      <c r="E44">
        <f t="shared" si="0"/>
        <v>0.49300000000000005</v>
      </c>
      <c r="I44">
        <f>E44*$L$39*$L$42/(E35*$L$45/1000)</f>
        <v>2.0850180213492428E-2</v>
      </c>
      <c r="L44" t="s">
        <v>20</v>
      </c>
    </row>
    <row r="45" spans="1:12" x14ac:dyDescent="0.25">
      <c r="L45">
        <v>72</v>
      </c>
    </row>
    <row r="46" spans="1:12" x14ac:dyDescent="0.25">
      <c r="A46" s="1" t="s">
        <v>12</v>
      </c>
      <c r="B46" s="1"/>
      <c r="C46" s="1"/>
    </row>
    <row r="47" spans="1:12" x14ac:dyDescent="0.25">
      <c r="B47">
        <v>0</v>
      </c>
      <c r="C47">
        <v>24</v>
      </c>
    </row>
    <row r="48" spans="1:12" x14ac:dyDescent="0.25">
      <c r="A48" t="s">
        <v>1</v>
      </c>
      <c r="B48">
        <v>-8.5475970242284915E-5</v>
      </c>
      <c r="C48">
        <v>2.5595704259921337E-3</v>
      </c>
      <c r="E48">
        <f t="shared" si="0"/>
        <v>2.6450463962344184E-3</v>
      </c>
      <c r="G48">
        <v>2</v>
      </c>
      <c r="I48">
        <f>E48/G48/E$30</f>
        <v>1.2839715200213026E-5</v>
      </c>
    </row>
    <row r="49" spans="1:9" x14ac:dyDescent="0.25">
      <c r="A49" t="s">
        <v>2</v>
      </c>
      <c r="B49">
        <v>-6.8625966389820192E-5</v>
      </c>
      <c r="C49">
        <v>2.5938495225735613E-3</v>
      </c>
      <c r="E49">
        <f t="shared" si="0"/>
        <v>2.6624754889633816E-3</v>
      </c>
      <c r="G49">
        <v>2</v>
      </c>
      <c r="I49">
        <f>E49/G49/E$31</f>
        <v>1.3108542246152785E-5</v>
      </c>
    </row>
    <row r="50" spans="1:9" x14ac:dyDescent="0.25">
      <c r="A50" t="s">
        <v>9</v>
      </c>
      <c r="B50">
        <v>-2.2188160973807616E-4</v>
      </c>
      <c r="C50">
        <v>1.7554318985489243E-3</v>
      </c>
      <c r="E50">
        <f t="shared" si="0"/>
        <v>1.9773135082870007E-3</v>
      </c>
      <c r="G50">
        <v>2</v>
      </c>
      <c r="I50">
        <f>E50/G50/E$32</f>
        <v>1.0148485453824648E-5</v>
      </c>
    </row>
    <row r="51" spans="1:9" x14ac:dyDescent="0.25">
      <c r="A51" t="s">
        <v>4</v>
      </c>
      <c r="B51">
        <v>-7.025576260056669E-5</v>
      </c>
      <c r="C51">
        <v>6.0701040517963205E-2</v>
      </c>
      <c r="E51">
        <f t="shared" si="0"/>
        <v>6.0771296280563769E-2</v>
      </c>
      <c r="G51">
        <v>2</v>
      </c>
      <c r="I51">
        <f>E51/G51/E$33</f>
        <v>5.1265000997255438E-4</v>
      </c>
    </row>
    <row r="52" spans="1:9" x14ac:dyDescent="0.25">
      <c r="A52" t="s">
        <v>5</v>
      </c>
      <c r="B52">
        <v>-2.7789063355552688E-5</v>
      </c>
      <c r="C52">
        <v>5.954560141004453E-2</v>
      </c>
      <c r="E52">
        <f t="shared" si="0"/>
        <v>5.957339047340008E-2</v>
      </c>
      <c r="G52">
        <v>2</v>
      </c>
      <c r="I52">
        <f>E52/G52/E$34</f>
        <v>4.5243889754676564E-4</v>
      </c>
    </row>
    <row r="53" spans="1:9" x14ac:dyDescent="0.25">
      <c r="A53" t="s">
        <v>6</v>
      </c>
      <c r="B53">
        <v>8.819850535789903E-6</v>
      </c>
      <c r="C53">
        <v>7.8732153953617975E-2</v>
      </c>
      <c r="E53">
        <f t="shared" si="0"/>
        <v>7.8723334103082188E-2</v>
      </c>
      <c r="G53">
        <v>2</v>
      </c>
      <c r="I53">
        <f>E53/G53/E$35</f>
        <v>6.0697576728863296E-4</v>
      </c>
    </row>
    <row r="55" spans="1:9" x14ac:dyDescent="0.25">
      <c r="A55" s="1" t="s">
        <v>13</v>
      </c>
      <c r="B55" s="1"/>
      <c r="C55" s="1"/>
    </row>
    <row r="56" spans="1:9" x14ac:dyDescent="0.25">
      <c r="B56">
        <v>0</v>
      </c>
      <c r="C56">
        <v>24</v>
      </c>
    </row>
    <row r="57" spans="1:9" x14ac:dyDescent="0.25">
      <c r="A57" t="s">
        <v>1</v>
      </c>
      <c r="B57">
        <v>-4.4317236857482705E-4</v>
      </c>
      <c r="C57">
        <v>8.6494567337651221E-2</v>
      </c>
      <c r="E57">
        <f t="shared" si="0"/>
        <v>8.693773970622605E-2</v>
      </c>
      <c r="G57" s="3">
        <f>6/7</f>
        <v>0.8571428571428571</v>
      </c>
      <c r="I57">
        <f>E57/G57/E$30</f>
        <v>9.8470745629406853E-4</v>
      </c>
    </row>
    <row r="58" spans="1:9" x14ac:dyDescent="0.25">
      <c r="A58" t="s">
        <v>2</v>
      </c>
      <c r="B58">
        <v>-4.3602562522725613E-4</v>
      </c>
      <c r="C58">
        <v>8.6484863256035757E-2</v>
      </c>
      <c r="E58">
        <f t="shared" si="0"/>
        <v>8.6920888881263009E-2</v>
      </c>
      <c r="G58" s="3">
        <f t="shared" ref="G58:G62" si="2">6/7</f>
        <v>0.8571428571428571</v>
      </c>
      <c r="I58">
        <f>E58/G58/E$31</f>
        <v>9.9854978832971493E-4</v>
      </c>
    </row>
    <row r="59" spans="1:9" x14ac:dyDescent="0.25">
      <c r="A59" t="s">
        <v>9</v>
      </c>
      <c r="B59">
        <v>-4.0787248261110959E-4</v>
      </c>
      <c r="C59">
        <v>9.0721599355688215E-2</v>
      </c>
      <c r="E59">
        <f t="shared" si="0"/>
        <v>9.1129471838299322E-2</v>
      </c>
      <c r="G59" s="3">
        <f t="shared" si="2"/>
        <v>0.8571428571428571</v>
      </c>
      <c r="I59">
        <f>E59/G59/E$32</f>
        <v>1.0913431799304191E-3</v>
      </c>
    </row>
    <row r="60" spans="1:9" x14ac:dyDescent="0.25">
      <c r="A60" t="s">
        <v>4</v>
      </c>
      <c r="B60">
        <v>-4.1120297752094375E-4</v>
      </c>
      <c r="C60">
        <v>1.5097303543562623E-2</v>
      </c>
      <c r="E60">
        <f t="shared" si="0"/>
        <v>1.5508506521083567E-2</v>
      </c>
      <c r="G60" s="3">
        <f t="shared" si="2"/>
        <v>0.8571428571428571</v>
      </c>
      <c r="I60">
        <f>E60/G60/E$33</f>
        <v>3.0525953076002697E-4</v>
      </c>
    </row>
    <row r="61" spans="1:9" x14ac:dyDescent="0.25">
      <c r="A61" t="s">
        <v>5</v>
      </c>
      <c r="B61">
        <v>-4.1217154714786263E-4</v>
      </c>
      <c r="C61">
        <v>1.7480138459653797E-2</v>
      </c>
      <c r="E61">
        <f t="shared" si="0"/>
        <v>1.7892310006801658E-2</v>
      </c>
      <c r="G61" s="3">
        <f t="shared" si="2"/>
        <v>0.8571428571428571</v>
      </c>
      <c r="I61">
        <f>E61/G61/E$34</f>
        <v>3.1706683497446171E-4</v>
      </c>
    </row>
    <row r="62" spans="1:9" x14ac:dyDescent="0.25">
      <c r="A62" t="s">
        <v>6</v>
      </c>
      <c r="B62">
        <v>-4.0163786376416218E-4</v>
      </c>
      <c r="C62">
        <v>1.688949758793154E-2</v>
      </c>
      <c r="E62">
        <f t="shared" si="0"/>
        <v>1.7291135451695701E-2</v>
      </c>
      <c r="G62" s="3">
        <f t="shared" si="2"/>
        <v>0.8571428571428571</v>
      </c>
      <c r="I62">
        <f>E62/G62/E$35</f>
        <v>3.1107719328550971E-4</v>
      </c>
    </row>
    <row r="64" spans="1:9" x14ac:dyDescent="0.25">
      <c r="A64" s="1" t="s">
        <v>14</v>
      </c>
      <c r="B64" s="1"/>
      <c r="C64" s="1"/>
    </row>
    <row r="65" spans="1:9" x14ac:dyDescent="0.25">
      <c r="B65">
        <v>0</v>
      </c>
      <c r="C65">
        <v>24</v>
      </c>
    </row>
    <row r="66" spans="1:9" x14ac:dyDescent="0.25">
      <c r="A66" t="s">
        <v>1</v>
      </c>
      <c r="B66">
        <v>-6.0357518118772501E-3</v>
      </c>
      <c r="C66">
        <v>0.19900265535422099</v>
      </c>
      <c r="E66">
        <f t="shared" si="0"/>
        <v>0.20503840716609822</v>
      </c>
      <c r="G66">
        <v>1.5</v>
      </c>
      <c r="I66">
        <f>E66/G66/E$30</f>
        <v>1.327076786184636E-3</v>
      </c>
    </row>
    <row r="67" spans="1:9" x14ac:dyDescent="0.25">
      <c r="A67" t="s">
        <v>2</v>
      </c>
      <c r="B67">
        <v>-6.5556890754290787E-3</v>
      </c>
      <c r="C67">
        <v>0.20072121387526254</v>
      </c>
      <c r="E67">
        <f t="shared" si="0"/>
        <v>0.20727690295069162</v>
      </c>
      <c r="G67">
        <v>1.5</v>
      </c>
      <c r="I67">
        <f>E67/G67/E$31</f>
        <v>1.3606876008155542E-3</v>
      </c>
    </row>
    <row r="68" spans="1:9" x14ac:dyDescent="0.25">
      <c r="A68" t="s">
        <v>9</v>
      </c>
      <c r="B68">
        <v>-9.074358493554922E-3</v>
      </c>
      <c r="C68">
        <v>0.17614011231391546</v>
      </c>
      <c r="E68">
        <f t="shared" ref="E68:E80" si="3">C68-B68</f>
        <v>0.18521447080747039</v>
      </c>
      <c r="G68">
        <v>1.5</v>
      </c>
      <c r="I68">
        <f>E68/G68/E$32</f>
        <v>1.2674748541053433E-3</v>
      </c>
    </row>
    <row r="69" spans="1:9" x14ac:dyDescent="0.25">
      <c r="A69" t="s">
        <v>4</v>
      </c>
      <c r="B69">
        <v>-6.4197627865084398E-3</v>
      </c>
      <c r="C69">
        <v>4.8463307729146622E-2</v>
      </c>
      <c r="E69">
        <f t="shared" si="3"/>
        <v>5.4883070515655059E-2</v>
      </c>
      <c r="G69">
        <v>1.5</v>
      </c>
      <c r="I69">
        <f>E69/G69/E$33</f>
        <v>6.1730473363126267E-4</v>
      </c>
    </row>
    <row r="70" spans="1:9" x14ac:dyDescent="0.25">
      <c r="A70" t="s">
        <v>5</v>
      </c>
      <c r="B70">
        <v>-9.0191312340737236E-3</v>
      </c>
      <c r="C70">
        <v>5.2312832497938486E-2</v>
      </c>
      <c r="E70">
        <f t="shared" si="3"/>
        <v>6.1331963732012211E-2</v>
      </c>
      <c r="G70">
        <v>1.5</v>
      </c>
      <c r="I70">
        <f>E70/G70/E$34</f>
        <v>6.2105952192822111E-4</v>
      </c>
    </row>
    <row r="71" spans="1:9" x14ac:dyDescent="0.25">
      <c r="A71" t="s">
        <v>6</v>
      </c>
      <c r="B71">
        <v>-9.0268048640420127E-3</v>
      </c>
      <c r="C71">
        <v>5.4690803463218619E-2</v>
      </c>
      <c r="E71">
        <f t="shared" si="3"/>
        <v>6.371760832726063E-2</v>
      </c>
      <c r="G71">
        <v>1.5</v>
      </c>
      <c r="I71">
        <f>E71/G71/E$35</f>
        <v>6.5503736843925829E-4</v>
      </c>
    </row>
    <row r="73" spans="1:9" x14ac:dyDescent="0.25">
      <c r="A73" s="1" t="s">
        <v>15</v>
      </c>
      <c r="B73" s="1"/>
      <c r="C73" s="1"/>
    </row>
    <row r="74" spans="1:9" x14ac:dyDescent="0.25">
      <c r="B74">
        <v>0</v>
      </c>
      <c r="C74">
        <v>24</v>
      </c>
    </row>
    <row r="75" spans="1:9" x14ac:dyDescent="0.25">
      <c r="A75" t="s">
        <v>1</v>
      </c>
      <c r="B75">
        <v>-1.7881334122197917E-2</v>
      </c>
      <c r="C75">
        <v>0.11981810846612534</v>
      </c>
      <c r="E75">
        <f t="shared" si="3"/>
        <v>0.13769944258832326</v>
      </c>
      <c r="G75">
        <v>2</v>
      </c>
      <c r="I75">
        <f>E75/G75/E$30</f>
        <v>6.6842745313623728E-4</v>
      </c>
    </row>
    <row r="76" spans="1:9" x14ac:dyDescent="0.25">
      <c r="A76" t="s">
        <v>2</v>
      </c>
      <c r="B76">
        <v>-1.7642462752743296E-2</v>
      </c>
      <c r="C76">
        <v>0.1392288399757956</v>
      </c>
      <c r="E76">
        <f t="shared" si="3"/>
        <v>0.15687130272853889</v>
      </c>
      <c r="G76">
        <v>2</v>
      </c>
      <c r="I76">
        <f>E76/G76/E$31</f>
        <v>7.7234667795071546E-4</v>
      </c>
    </row>
    <row r="77" spans="1:9" x14ac:dyDescent="0.25">
      <c r="A77" t="s">
        <v>9</v>
      </c>
      <c r="B77">
        <v>-1.9267793850584313E-2</v>
      </c>
      <c r="C77">
        <v>0.13915244222673487</v>
      </c>
      <c r="E77">
        <f t="shared" si="3"/>
        <v>0.15842023607731917</v>
      </c>
      <c r="G77">
        <v>2</v>
      </c>
      <c r="I77">
        <f>E77/G77/E$32</f>
        <v>8.1308576241658089E-4</v>
      </c>
    </row>
    <row r="78" spans="1:9" x14ac:dyDescent="0.25">
      <c r="A78" t="s">
        <v>4</v>
      </c>
      <c r="B78">
        <v>-1.9575006244858788E-2</v>
      </c>
      <c r="C78">
        <v>-6.6936559662875436E-3</v>
      </c>
      <c r="E78">
        <f t="shared" si="3"/>
        <v>1.2881350278571246E-2</v>
      </c>
      <c r="G78">
        <v>2</v>
      </c>
      <c r="I78">
        <f>E78/G78/E$33</f>
        <v>1.0866354270743974E-4</v>
      </c>
    </row>
    <row r="79" spans="1:9" x14ac:dyDescent="0.25">
      <c r="A79" t="s">
        <v>5</v>
      </c>
      <c r="B79">
        <v>-1.8983881279517827E-2</v>
      </c>
      <c r="C79">
        <v>-1.1528254391296696E-3</v>
      </c>
      <c r="E79">
        <f t="shared" si="3"/>
        <v>1.7831055840388157E-2</v>
      </c>
      <c r="G79">
        <v>2</v>
      </c>
      <c r="I79">
        <f>E79/G79/E$34</f>
        <v>1.3542058261938628E-4</v>
      </c>
    </row>
    <row r="80" spans="1:9" x14ac:dyDescent="0.25">
      <c r="A80" t="s">
        <v>6</v>
      </c>
      <c r="B80">
        <v>-1.9004817879650943E-2</v>
      </c>
      <c r="C80">
        <v>5.733498416508092E-3</v>
      </c>
      <c r="E80">
        <f t="shared" si="3"/>
        <v>2.4738316296159035E-2</v>
      </c>
      <c r="G80">
        <v>2</v>
      </c>
      <c r="I80">
        <f>E80/G80/E$35</f>
        <v>1.9073834570609388E-4</v>
      </c>
    </row>
  </sheetData>
  <mergeCells count="9">
    <mergeCell ref="A55:C55"/>
    <mergeCell ref="A64:C64"/>
    <mergeCell ref="A73:C73"/>
    <mergeCell ref="A1:C1"/>
    <mergeCell ref="A10:C10"/>
    <mergeCell ref="A19:C19"/>
    <mergeCell ref="A28:C28"/>
    <mergeCell ref="A37:C37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2019-01-25T22:20:35Z</dcterms:created>
  <dcterms:modified xsi:type="dcterms:W3CDTF">2019-01-25T23:05:49Z</dcterms:modified>
</cp:coreProperties>
</file>