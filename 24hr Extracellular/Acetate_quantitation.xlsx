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24hr Extracellular\"/>
    </mc:Choice>
  </mc:AlternateContent>
  <bookViews>
    <workbookView xWindow="0" yWindow="0" windowWidth="2748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1" l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<sst xmlns="http://schemas.openxmlformats.org/spreadsheetml/2006/main" count="92" uniqueCount="55">
  <si>
    <t>Sample</t>
  </si>
  <si>
    <t>Acetate Signal</t>
  </si>
  <si>
    <t>ppm</t>
  </si>
  <si>
    <t>An A 0</t>
  </si>
  <si>
    <t>An A 3</t>
  </si>
  <si>
    <t>An A 5</t>
  </si>
  <si>
    <t>An A 7</t>
  </si>
  <si>
    <t>An A 9</t>
  </si>
  <si>
    <t>An A 24</t>
  </si>
  <si>
    <t>An B 0</t>
  </si>
  <si>
    <t>An B 3</t>
  </si>
  <si>
    <t>An B 5</t>
  </si>
  <si>
    <t>An B 7</t>
  </si>
  <si>
    <t>An B 9</t>
  </si>
  <si>
    <t>An B 24</t>
  </si>
  <si>
    <t>An C 0</t>
  </si>
  <si>
    <t>An C 3</t>
  </si>
  <si>
    <t>An C 5</t>
  </si>
  <si>
    <t>An C 7</t>
  </si>
  <si>
    <t>An C 9</t>
  </si>
  <si>
    <t>An C 24</t>
  </si>
  <si>
    <t>O2 A 0</t>
  </si>
  <si>
    <t>O2 A 3</t>
  </si>
  <si>
    <t>O2 A 5</t>
  </si>
  <si>
    <t>O2 A 7</t>
  </si>
  <si>
    <t>O2 A 9</t>
  </si>
  <si>
    <t>O2 A 24</t>
  </si>
  <si>
    <t>O2 B 0</t>
  </si>
  <si>
    <t>O2 B 3</t>
  </si>
  <si>
    <t>O2 B 5</t>
  </si>
  <si>
    <t>O2 B 7</t>
  </si>
  <si>
    <t>O2 B 9</t>
  </si>
  <si>
    <t>O2 B 24</t>
  </si>
  <si>
    <t>O2 C 0</t>
  </si>
  <si>
    <t>O2 C 3</t>
  </si>
  <si>
    <t>O2 C 5</t>
  </si>
  <si>
    <t>O2 C 7</t>
  </si>
  <si>
    <t>O2 C 9</t>
  </si>
  <si>
    <t>O2 C 24</t>
  </si>
  <si>
    <t>Concnetration Calculation</t>
  </si>
  <si>
    <t>Each tube has:</t>
  </si>
  <si>
    <t>TSP (20mM)</t>
  </si>
  <si>
    <t>Buffer</t>
  </si>
  <si>
    <t>sample</t>
  </si>
  <si>
    <t>total</t>
  </si>
  <si>
    <t>60uL</t>
  </si>
  <si>
    <t>300uL</t>
  </si>
  <si>
    <t>240uL</t>
  </si>
  <si>
    <t>600uL</t>
  </si>
  <si>
    <t>1 in 10 dilution</t>
  </si>
  <si>
    <t>1 in 2.5 dilution</t>
  </si>
  <si>
    <t>TPS concentration (mM)</t>
  </si>
  <si>
    <t>TPS #H / Acetate #H</t>
  </si>
  <si>
    <t>dilution factor</t>
  </si>
  <si>
    <t>Acetate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</si>
</sst>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P10" sqref="P10"/>
    </sheetView>
  </sheetViews>
  <sheetFormatPr defaultRowHeight="15" x14ac:dyDescent="0.25"/>
  <cols>
    <col min="2" max="2" width="13.7109375" bestFit="1" customWidth="1"/>
    <col min="14" max="14" width="1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E1" s="1" t="s">
        <v>39</v>
      </c>
      <c r="F1" s="1"/>
      <c r="G1" s="1"/>
      <c r="H1" s="1"/>
      <c r="I1" s="1"/>
      <c r="J1" s="1"/>
      <c r="K1" s="1"/>
      <c r="M1" t="s">
        <v>0</v>
      </c>
      <c r="N1" t="s">
        <v>54</v>
      </c>
    </row>
    <row r="2" spans="1:14" x14ac:dyDescent="0.25">
      <c r="A2" t="s">
        <v>3</v>
      </c>
      <c r="B2">
        <v>1.14E-2</v>
      </c>
      <c r="C2">
        <v>1.9282999999999999</v>
      </c>
      <c r="E2" s="1" t="s">
        <v>40</v>
      </c>
      <c r="F2" s="1"/>
      <c r="G2" t="s">
        <v>41</v>
      </c>
      <c r="H2" t="s">
        <v>42</v>
      </c>
      <c r="I2" t="s">
        <v>43</v>
      </c>
      <c r="J2" t="s">
        <v>44</v>
      </c>
      <c r="M2" t="s">
        <v>3</v>
      </c>
      <c r="N2">
        <f>B2*$F$7*$H$7*$J$7</f>
        <v>8.5500000000000007E-2</v>
      </c>
    </row>
    <row r="3" spans="1:14" x14ac:dyDescent="0.25">
      <c r="A3" t="s">
        <v>4</v>
      </c>
      <c r="B3">
        <v>1.46E-2</v>
      </c>
      <c r="C3">
        <v>1.9258</v>
      </c>
      <c r="G3" t="s">
        <v>45</v>
      </c>
      <c r="H3" t="s">
        <v>46</v>
      </c>
      <c r="I3" t="s">
        <v>47</v>
      </c>
      <c r="J3" t="s">
        <v>48</v>
      </c>
      <c r="M3" t="s">
        <v>4</v>
      </c>
      <c r="N3">
        <f t="shared" ref="N3:N37" si="0">B3*$F$7*$H$7*$J$7</f>
        <v>0.1095</v>
      </c>
    </row>
    <row r="4" spans="1:14" x14ac:dyDescent="0.25">
      <c r="A4" t="s">
        <v>5</v>
      </c>
      <c r="B4">
        <v>1.9599999999999999E-2</v>
      </c>
      <c r="C4">
        <v>1.9269000000000001</v>
      </c>
      <c r="G4" t="s">
        <v>49</v>
      </c>
      <c r="I4" t="s">
        <v>50</v>
      </c>
      <c r="M4" t="s">
        <v>5</v>
      </c>
      <c r="N4">
        <f t="shared" si="0"/>
        <v>0.14699999999999999</v>
      </c>
    </row>
    <row r="5" spans="1:14" x14ac:dyDescent="0.25">
      <c r="A5" t="s">
        <v>6</v>
      </c>
      <c r="B5">
        <v>3.3500000000000002E-2</v>
      </c>
      <c r="C5">
        <v>1.927</v>
      </c>
      <c r="M5" t="s">
        <v>6</v>
      </c>
      <c r="N5">
        <f t="shared" si="0"/>
        <v>0.25125000000000003</v>
      </c>
    </row>
    <row r="6" spans="1:14" x14ac:dyDescent="0.25">
      <c r="A6" t="s">
        <v>7</v>
      </c>
      <c r="B6">
        <v>5.1499999999999997E-2</v>
      </c>
      <c r="C6">
        <v>1.9261999999999999</v>
      </c>
      <c r="E6" t="s">
        <v>51</v>
      </c>
      <c r="H6" t="s">
        <v>52</v>
      </c>
      <c r="J6" t="s">
        <v>53</v>
      </c>
      <c r="M6" t="s">
        <v>7</v>
      </c>
      <c r="N6">
        <f t="shared" si="0"/>
        <v>0.38624999999999998</v>
      </c>
    </row>
    <row r="7" spans="1:14" x14ac:dyDescent="0.25">
      <c r="A7" t="s">
        <v>8</v>
      </c>
      <c r="B7">
        <v>0.1166</v>
      </c>
      <c r="C7">
        <v>1.9269000000000001</v>
      </c>
      <c r="F7">
        <v>2</v>
      </c>
      <c r="H7">
        <v>1.5</v>
      </c>
      <c r="J7">
        <v>2.5</v>
      </c>
      <c r="M7" t="s">
        <v>8</v>
      </c>
      <c r="N7">
        <f t="shared" si="0"/>
        <v>0.87450000000000006</v>
      </c>
    </row>
    <row r="8" spans="1:14" x14ac:dyDescent="0.25">
      <c r="A8" t="s">
        <v>9</v>
      </c>
      <c r="B8">
        <v>8.2000000000000007E-3</v>
      </c>
      <c r="C8">
        <v>1.9287000000000001</v>
      </c>
      <c r="M8" t="s">
        <v>9</v>
      </c>
      <c r="N8">
        <f t="shared" si="0"/>
        <v>6.1500000000000013E-2</v>
      </c>
    </row>
    <row r="9" spans="1:14" x14ac:dyDescent="0.25">
      <c r="A9" t="s">
        <v>10</v>
      </c>
      <c r="B9">
        <v>8.5000000000000006E-3</v>
      </c>
      <c r="C9">
        <v>1.927</v>
      </c>
      <c r="M9" t="s">
        <v>10</v>
      </c>
      <c r="N9">
        <f t="shared" si="0"/>
        <v>6.3750000000000001E-2</v>
      </c>
    </row>
    <row r="10" spans="1:14" x14ac:dyDescent="0.25">
      <c r="A10" t="s">
        <v>11</v>
      </c>
      <c r="B10">
        <v>2.4899999999999999E-2</v>
      </c>
      <c r="C10">
        <v>1.9271</v>
      </c>
      <c r="M10" t="s">
        <v>11</v>
      </c>
      <c r="N10">
        <f t="shared" si="0"/>
        <v>0.18674999999999997</v>
      </c>
    </row>
    <row r="11" spans="1:14" x14ac:dyDescent="0.25">
      <c r="A11" t="s">
        <v>12</v>
      </c>
      <c r="B11">
        <v>3.0700000000000002E-2</v>
      </c>
      <c r="C11">
        <v>1.9271</v>
      </c>
      <c r="M11" t="s">
        <v>12</v>
      </c>
      <c r="N11">
        <f t="shared" si="0"/>
        <v>0.23025000000000001</v>
      </c>
    </row>
    <row r="12" spans="1:14" x14ac:dyDescent="0.25">
      <c r="A12" t="s">
        <v>13</v>
      </c>
      <c r="B12">
        <v>5.0900000000000001E-2</v>
      </c>
      <c r="C12">
        <v>1.9267000000000001</v>
      </c>
      <c r="M12" t="s">
        <v>13</v>
      </c>
      <c r="N12">
        <f t="shared" si="0"/>
        <v>0.38175000000000003</v>
      </c>
    </row>
    <row r="13" spans="1:14" x14ac:dyDescent="0.25">
      <c r="A13" t="s">
        <v>14</v>
      </c>
      <c r="B13">
        <v>0.1192</v>
      </c>
      <c r="C13">
        <v>1.9258999999999999</v>
      </c>
      <c r="M13" t="s">
        <v>14</v>
      </c>
      <c r="N13">
        <f t="shared" si="0"/>
        <v>0.89400000000000013</v>
      </c>
    </row>
    <row r="14" spans="1:14" x14ac:dyDescent="0.25">
      <c r="A14" t="s">
        <v>15</v>
      </c>
      <c r="B14">
        <v>4.4000000000000003E-3</v>
      </c>
      <c r="C14">
        <v>1.9291</v>
      </c>
      <c r="M14" t="s">
        <v>15</v>
      </c>
      <c r="N14">
        <f t="shared" si="0"/>
        <v>3.3000000000000002E-2</v>
      </c>
    </row>
    <row r="15" spans="1:14" x14ac:dyDescent="0.25">
      <c r="A15" t="s">
        <v>16</v>
      </c>
      <c r="B15">
        <v>1.35E-2</v>
      </c>
      <c r="C15">
        <v>1.9260999999999999</v>
      </c>
      <c r="M15" t="s">
        <v>16</v>
      </c>
      <c r="N15">
        <f t="shared" si="0"/>
        <v>0.10125000000000001</v>
      </c>
    </row>
    <row r="16" spans="1:14" x14ac:dyDescent="0.25">
      <c r="A16" t="s">
        <v>17</v>
      </c>
      <c r="B16">
        <v>2.4E-2</v>
      </c>
      <c r="C16">
        <v>1.9271</v>
      </c>
      <c r="M16" t="s">
        <v>17</v>
      </c>
      <c r="N16">
        <f t="shared" si="0"/>
        <v>0.18000000000000002</v>
      </c>
    </row>
    <row r="17" spans="1:14" x14ac:dyDescent="0.25">
      <c r="A17" t="s">
        <v>18</v>
      </c>
      <c r="B17">
        <v>3.27E-2</v>
      </c>
      <c r="C17">
        <v>1.9268000000000001</v>
      </c>
      <c r="M17" t="s">
        <v>18</v>
      </c>
      <c r="N17">
        <f t="shared" si="0"/>
        <v>0.24524999999999997</v>
      </c>
    </row>
    <row r="18" spans="1:14" x14ac:dyDescent="0.25">
      <c r="A18" t="s">
        <v>19</v>
      </c>
      <c r="B18">
        <v>5.0099999999999999E-2</v>
      </c>
      <c r="C18">
        <v>1.9256</v>
      </c>
      <c r="M18" t="s">
        <v>19</v>
      </c>
      <c r="N18">
        <f t="shared" si="0"/>
        <v>0.37574999999999997</v>
      </c>
    </row>
    <row r="19" spans="1:14" x14ac:dyDescent="0.25">
      <c r="A19" t="s">
        <v>20</v>
      </c>
      <c r="B19">
        <v>0.1143</v>
      </c>
      <c r="C19">
        <v>1.9268000000000001</v>
      </c>
      <c r="M19" t="s">
        <v>20</v>
      </c>
      <c r="N19">
        <f t="shared" si="0"/>
        <v>0.85724999999999996</v>
      </c>
    </row>
    <row r="20" spans="1:14" x14ac:dyDescent="0.25">
      <c r="A20" t="s">
        <v>21</v>
      </c>
      <c r="B20">
        <v>-8.9999999999999998E-4</v>
      </c>
      <c r="C20">
        <v>1.9268000000000001</v>
      </c>
      <c r="M20" t="s">
        <v>21</v>
      </c>
      <c r="N20">
        <f t="shared" si="0"/>
        <v>-6.7500000000000008E-3</v>
      </c>
    </row>
    <row r="21" spans="1:14" x14ac:dyDescent="0.25">
      <c r="A21" t="s">
        <v>22</v>
      </c>
      <c r="B21">
        <v>1.84E-2</v>
      </c>
      <c r="C21">
        <v>1.9271</v>
      </c>
      <c r="M21" t="s">
        <v>22</v>
      </c>
      <c r="N21">
        <f t="shared" si="0"/>
        <v>0.13800000000000001</v>
      </c>
    </row>
    <row r="22" spans="1:14" x14ac:dyDescent="0.25">
      <c r="A22" t="s">
        <v>23</v>
      </c>
      <c r="B22">
        <v>5.2600000000000001E-2</v>
      </c>
      <c r="C22">
        <v>1.9268000000000001</v>
      </c>
      <c r="M22" t="s">
        <v>23</v>
      </c>
      <c r="N22">
        <f t="shared" si="0"/>
        <v>0.39449999999999996</v>
      </c>
    </row>
    <row r="23" spans="1:14" x14ac:dyDescent="0.25">
      <c r="A23" t="s">
        <v>24</v>
      </c>
      <c r="B23">
        <v>0.1037</v>
      </c>
      <c r="C23">
        <v>1.9272</v>
      </c>
      <c r="M23" t="s">
        <v>24</v>
      </c>
      <c r="N23">
        <f t="shared" si="0"/>
        <v>0.77774999999999994</v>
      </c>
    </row>
    <row r="24" spans="1:14" x14ac:dyDescent="0.25">
      <c r="A24" t="s">
        <v>25</v>
      </c>
      <c r="B24">
        <v>0.15840000000000001</v>
      </c>
      <c r="C24">
        <v>1.9265000000000001</v>
      </c>
      <c r="M24" t="s">
        <v>25</v>
      </c>
      <c r="N24">
        <f t="shared" si="0"/>
        <v>1.1880000000000002</v>
      </c>
    </row>
    <row r="25" spans="1:14" x14ac:dyDescent="0.25">
      <c r="A25" t="s">
        <v>26</v>
      </c>
      <c r="B25">
        <v>0.37530000000000002</v>
      </c>
      <c r="C25">
        <v>1.9266000000000001</v>
      </c>
      <c r="M25" t="s">
        <v>26</v>
      </c>
      <c r="N25">
        <f t="shared" si="0"/>
        <v>2.8147500000000001</v>
      </c>
    </row>
    <row r="26" spans="1:14" x14ac:dyDescent="0.25">
      <c r="A26" t="s">
        <v>27</v>
      </c>
      <c r="B26">
        <v>1.3299999999999999E-2</v>
      </c>
      <c r="C26">
        <v>1.9267000000000001</v>
      </c>
      <c r="M26" t="s">
        <v>27</v>
      </c>
      <c r="N26">
        <f t="shared" si="0"/>
        <v>9.9749999999999991E-2</v>
      </c>
    </row>
    <row r="27" spans="1:14" x14ac:dyDescent="0.25">
      <c r="A27" t="s">
        <v>28</v>
      </c>
      <c r="B27">
        <v>1.5900000000000001E-2</v>
      </c>
      <c r="C27">
        <v>1.9271</v>
      </c>
      <c r="M27" t="s">
        <v>28</v>
      </c>
      <c r="N27">
        <f t="shared" si="0"/>
        <v>0.11925000000000002</v>
      </c>
    </row>
    <row r="28" spans="1:14" x14ac:dyDescent="0.25">
      <c r="A28" t="s">
        <v>29</v>
      </c>
      <c r="B28">
        <v>4.4600000000000001E-2</v>
      </c>
      <c r="C28">
        <v>1.9272</v>
      </c>
      <c r="M28" t="s">
        <v>29</v>
      </c>
      <c r="N28">
        <f t="shared" si="0"/>
        <v>0.33450000000000002</v>
      </c>
    </row>
    <row r="29" spans="1:14" x14ac:dyDescent="0.25">
      <c r="A29" t="s">
        <v>30</v>
      </c>
      <c r="B29">
        <v>9.7600000000000006E-2</v>
      </c>
      <c r="C29">
        <v>1.9267000000000001</v>
      </c>
      <c r="M29" t="s">
        <v>30</v>
      </c>
      <c r="N29">
        <f t="shared" si="0"/>
        <v>0.73199999999999998</v>
      </c>
    </row>
    <row r="30" spans="1:14" x14ac:dyDescent="0.25">
      <c r="A30" t="s">
        <v>31</v>
      </c>
      <c r="B30">
        <v>0.15640000000000001</v>
      </c>
      <c r="C30">
        <v>1.9266000000000001</v>
      </c>
      <c r="M30" t="s">
        <v>31</v>
      </c>
      <c r="N30">
        <f t="shared" si="0"/>
        <v>1.173</v>
      </c>
    </row>
    <row r="31" spans="1:14" x14ac:dyDescent="0.25">
      <c r="A31" t="s">
        <v>32</v>
      </c>
      <c r="B31">
        <v>0.36399999999999999</v>
      </c>
      <c r="C31">
        <v>1.9268000000000001</v>
      </c>
      <c r="M31" t="s">
        <v>32</v>
      </c>
      <c r="N31">
        <f t="shared" si="0"/>
        <v>2.7300000000000004</v>
      </c>
    </row>
    <row r="32" spans="1:14" x14ac:dyDescent="0.25">
      <c r="A32" t="s">
        <v>33</v>
      </c>
      <c r="B32">
        <v>6.0000000000000001E-3</v>
      </c>
      <c r="C32">
        <v>1.9266000000000001</v>
      </c>
      <c r="M32" t="s">
        <v>33</v>
      </c>
      <c r="N32">
        <f t="shared" si="0"/>
        <v>4.5000000000000005E-2</v>
      </c>
    </row>
    <row r="33" spans="1:14" x14ac:dyDescent="0.25">
      <c r="A33" t="s">
        <v>34</v>
      </c>
      <c r="B33">
        <v>1.6299999999999999E-2</v>
      </c>
      <c r="C33">
        <v>1.927</v>
      </c>
      <c r="M33" t="s">
        <v>34</v>
      </c>
      <c r="N33">
        <f t="shared" si="0"/>
        <v>0.12225</v>
      </c>
    </row>
    <row r="34" spans="1:14" x14ac:dyDescent="0.25">
      <c r="A34" t="s">
        <v>35</v>
      </c>
      <c r="B34">
        <v>4.7399999999999998E-2</v>
      </c>
      <c r="C34">
        <v>1.9271</v>
      </c>
      <c r="M34" t="s">
        <v>35</v>
      </c>
      <c r="N34">
        <f t="shared" si="0"/>
        <v>0.35549999999999998</v>
      </c>
    </row>
    <row r="35" spans="1:14" x14ac:dyDescent="0.25">
      <c r="A35" t="s">
        <v>36</v>
      </c>
      <c r="B35">
        <v>0.1048</v>
      </c>
      <c r="C35">
        <v>1.9266000000000001</v>
      </c>
      <c r="M35" t="s">
        <v>36</v>
      </c>
      <c r="N35">
        <f t="shared" si="0"/>
        <v>0.78600000000000003</v>
      </c>
    </row>
    <row r="36" spans="1:14" x14ac:dyDescent="0.25">
      <c r="A36" t="s">
        <v>37</v>
      </c>
      <c r="B36">
        <v>0.14860000000000001</v>
      </c>
      <c r="C36">
        <v>1.9272</v>
      </c>
      <c r="M36" t="s">
        <v>37</v>
      </c>
      <c r="N36">
        <f t="shared" si="0"/>
        <v>1.1145</v>
      </c>
    </row>
    <row r="37" spans="1:14" x14ac:dyDescent="0.25">
      <c r="A37" t="s">
        <v>38</v>
      </c>
      <c r="B37">
        <v>0.35289999999999999</v>
      </c>
      <c r="C37">
        <v>1.9267000000000001</v>
      </c>
      <c r="M37" t="s">
        <v>38</v>
      </c>
      <c r="N37">
        <f t="shared" si="0"/>
        <v>2.6467499999999999</v>
      </c>
    </row>
  </sheetData>
  <mergeCells count="2">
    <mergeCell ref="E1:K1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2019-01-25T22:16:10Z</dcterms:created>
  <dcterms:modified xsi:type="dcterms:W3CDTF">2019-01-25T22:16:54Z</dcterms:modified>
</cp:coreProperties>
</file>