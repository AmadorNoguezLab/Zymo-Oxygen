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dor-Noguez Lab\Desktop\Oxygen Paper\GitHub\24hr Extracellular\"/>
    </mc:Choice>
  </mc:AlternateContent>
  <bookViews>
    <workbookView xWindow="0" yWindow="0" windowWidth="2748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7" i="1" l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<sst xmlns="http://schemas.openxmlformats.org/spreadsheetml/2006/main" count="93" uniqueCount="56">
  <si>
    <t>Sample</t>
  </si>
  <si>
    <t>EtOH signal</t>
  </si>
  <si>
    <t>low ppm</t>
  </si>
  <si>
    <t>high ppm</t>
  </si>
  <si>
    <t>An A 0</t>
  </si>
  <si>
    <t>An A 3</t>
  </si>
  <si>
    <t>An A 5</t>
  </si>
  <si>
    <t>An A 7</t>
  </si>
  <si>
    <t>An A 9</t>
  </si>
  <si>
    <t>An A 24</t>
  </si>
  <si>
    <t>An B 0</t>
  </si>
  <si>
    <t>An B 3</t>
  </si>
  <si>
    <t>An B 5</t>
  </si>
  <si>
    <t>An B 7</t>
  </si>
  <si>
    <t>An B 9</t>
  </si>
  <si>
    <t>An B 24</t>
  </si>
  <si>
    <t>An C 0</t>
  </si>
  <si>
    <t>An C 3</t>
  </si>
  <si>
    <t>An C 5</t>
  </si>
  <si>
    <t>An C 7</t>
  </si>
  <si>
    <t>An C 9</t>
  </si>
  <si>
    <t>An C 24</t>
  </si>
  <si>
    <t>O2 A 0</t>
  </si>
  <si>
    <t>O2 A 3</t>
  </si>
  <si>
    <t>O2 A 5</t>
  </si>
  <si>
    <t>O2 A 7</t>
  </si>
  <si>
    <t>O2 A 9</t>
  </si>
  <si>
    <t>O2 A 24</t>
  </si>
  <si>
    <t>O2 B 0</t>
  </si>
  <si>
    <t>O2 B 3</t>
  </si>
  <si>
    <t>O2 B 5</t>
  </si>
  <si>
    <t>O2 B 7</t>
  </si>
  <si>
    <t>O2 B 9</t>
  </si>
  <si>
    <t>O2 B 24</t>
  </si>
  <si>
    <t>O2 C 0</t>
  </si>
  <si>
    <t>O2 C 3</t>
  </si>
  <si>
    <t>O2 C 5</t>
  </si>
  <si>
    <t>O2 C 7</t>
  </si>
  <si>
    <t>O2 C 9</t>
  </si>
  <si>
    <t>O2 C 24</t>
  </si>
  <si>
    <t>Concnetration Calculation</t>
  </si>
  <si>
    <t>Each tube has:</t>
  </si>
  <si>
    <t>TSP (20mM)</t>
  </si>
  <si>
    <t>Buffer</t>
  </si>
  <si>
    <t>sample</t>
  </si>
  <si>
    <t>total</t>
  </si>
  <si>
    <t>60uL</t>
  </si>
  <si>
    <t>300uL</t>
  </si>
  <si>
    <t>240uL</t>
  </si>
  <si>
    <t>600uL</t>
  </si>
  <si>
    <t>1 in 10 dilution</t>
  </si>
  <si>
    <t>1 in 2.5 dilution</t>
  </si>
  <si>
    <t>TPS concentration (mM)</t>
  </si>
  <si>
    <t>TPS #H / EtOH #H</t>
  </si>
  <si>
    <t>dilution factor</t>
  </si>
  <si>
    <t>EtOH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</si>
</sst>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workbookViewId="0">
      <selection activeCell="P5" sqref="P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N1" t="s">
        <v>0</v>
      </c>
      <c r="O1" t="s">
        <v>55</v>
      </c>
    </row>
    <row r="2" spans="1:15" x14ac:dyDescent="0.25">
      <c r="A2" t="s">
        <v>4</v>
      </c>
      <c r="B2">
        <v>2.5399999999999999E-2</v>
      </c>
      <c r="C2">
        <v>1.351</v>
      </c>
      <c r="D2">
        <v>1.022</v>
      </c>
      <c r="N2" t="s">
        <v>4</v>
      </c>
      <c r="O2">
        <f>B2*$G$21*$I$21*$K$21</f>
        <v>0.38099999999999995</v>
      </c>
    </row>
    <row r="3" spans="1:15" x14ac:dyDescent="0.25">
      <c r="A3" t="s">
        <v>5</v>
      </c>
      <c r="B3">
        <v>1.1356999999999999</v>
      </c>
      <c r="C3">
        <v>1.351</v>
      </c>
      <c r="D3">
        <v>1.0229999999999999</v>
      </c>
      <c r="N3" t="s">
        <v>5</v>
      </c>
      <c r="O3">
        <f t="shared" ref="O3:O37" si="0">B3*$G$21*$I$21*$K$21</f>
        <v>17.035499999999999</v>
      </c>
    </row>
    <row r="4" spans="1:15" x14ac:dyDescent="0.25">
      <c r="A4" t="s">
        <v>6</v>
      </c>
      <c r="B4">
        <v>2.9813999999999998</v>
      </c>
      <c r="C4">
        <v>1.35</v>
      </c>
      <c r="D4">
        <v>1.022</v>
      </c>
      <c r="N4" t="s">
        <v>6</v>
      </c>
      <c r="O4">
        <f t="shared" si="0"/>
        <v>44.720999999999989</v>
      </c>
    </row>
    <row r="5" spans="1:15" x14ac:dyDescent="0.25">
      <c r="A5" t="s">
        <v>7</v>
      </c>
      <c r="B5">
        <v>6.9626000000000001</v>
      </c>
      <c r="C5">
        <v>1.351</v>
      </c>
      <c r="D5">
        <v>1.0269999999999999</v>
      </c>
      <c r="N5" t="s">
        <v>7</v>
      </c>
      <c r="O5">
        <f t="shared" si="0"/>
        <v>104.43899999999999</v>
      </c>
    </row>
    <row r="6" spans="1:15" x14ac:dyDescent="0.25">
      <c r="A6" t="s">
        <v>8</v>
      </c>
      <c r="B6">
        <v>11.698700000000001</v>
      </c>
      <c r="C6">
        <v>1.35</v>
      </c>
      <c r="D6">
        <v>1.02</v>
      </c>
      <c r="N6" t="s">
        <v>8</v>
      </c>
      <c r="O6">
        <f t="shared" si="0"/>
        <v>175.48050000000001</v>
      </c>
    </row>
    <row r="7" spans="1:15" x14ac:dyDescent="0.25">
      <c r="A7" t="s">
        <v>9</v>
      </c>
      <c r="B7">
        <v>11.7958</v>
      </c>
      <c r="C7">
        <v>1.351</v>
      </c>
      <c r="D7">
        <v>1.022</v>
      </c>
      <c r="N7" t="s">
        <v>9</v>
      </c>
      <c r="O7">
        <f t="shared" si="0"/>
        <v>176.93700000000001</v>
      </c>
    </row>
    <row r="8" spans="1:15" x14ac:dyDescent="0.25">
      <c r="A8" t="s">
        <v>10</v>
      </c>
      <c r="B8">
        <v>4.4499999999999998E-2</v>
      </c>
      <c r="C8">
        <v>1.35</v>
      </c>
      <c r="D8">
        <v>1.022</v>
      </c>
      <c r="N8" t="s">
        <v>10</v>
      </c>
      <c r="O8">
        <f t="shared" si="0"/>
        <v>0.66749999999999998</v>
      </c>
    </row>
    <row r="9" spans="1:15" x14ac:dyDescent="0.25">
      <c r="A9" t="s">
        <v>11</v>
      </c>
      <c r="B9">
        <v>1.3409</v>
      </c>
      <c r="C9">
        <v>1.35</v>
      </c>
      <c r="D9">
        <v>1.0229999999999999</v>
      </c>
      <c r="N9" t="s">
        <v>11</v>
      </c>
      <c r="O9">
        <f t="shared" si="0"/>
        <v>20.113500000000002</v>
      </c>
    </row>
    <row r="10" spans="1:15" x14ac:dyDescent="0.25">
      <c r="A10" t="s">
        <v>12</v>
      </c>
      <c r="B10">
        <v>3.1383000000000001</v>
      </c>
      <c r="C10">
        <v>1.35</v>
      </c>
      <c r="D10">
        <v>1.0229999999999999</v>
      </c>
      <c r="N10" t="s">
        <v>12</v>
      </c>
      <c r="O10">
        <f t="shared" si="0"/>
        <v>47.0745</v>
      </c>
    </row>
    <row r="11" spans="1:15" x14ac:dyDescent="0.25">
      <c r="A11" t="s">
        <v>13</v>
      </c>
      <c r="B11">
        <v>6.0838000000000001</v>
      </c>
      <c r="C11">
        <v>1.35</v>
      </c>
      <c r="D11">
        <v>1.022</v>
      </c>
      <c r="N11" t="s">
        <v>13</v>
      </c>
      <c r="O11">
        <f t="shared" si="0"/>
        <v>91.257000000000005</v>
      </c>
    </row>
    <row r="12" spans="1:15" x14ac:dyDescent="0.25">
      <c r="A12" t="s">
        <v>14</v>
      </c>
      <c r="B12">
        <v>9.7749000000000006</v>
      </c>
      <c r="C12">
        <v>1.351</v>
      </c>
      <c r="D12">
        <v>1.0229999999999999</v>
      </c>
      <c r="N12" t="s">
        <v>14</v>
      </c>
      <c r="O12">
        <f t="shared" si="0"/>
        <v>146.62350000000001</v>
      </c>
    </row>
    <row r="13" spans="1:15" x14ac:dyDescent="0.25">
      <c r="A13" t="s">
        <v>15</v>
      </c>
      <c r="B13">
        <v>12.671200000000001</v>
      </c>
      <c r="C13">
        <v>1.3520000000000001</v>
      </c>
      <c r="D13">
        <v>1.0229999999999999</v>
      </c>
      <c r="N13" t="s">
        <v>15</v>
      </c>
      <c r="O13">
        <f t="shared" si="0"/>
        <v>190.06800000000001</v>
      </c>
    </row>
    <row r="14" spans="1:15" x14ac:dyDescent="0.25">
      <c r="A14" t="s">
        <v>16</v>
      </c>
      <c r="B14">
        <v>5.0299999999999997E-2</v>
      </c>
      <c r="C14">
        <v>1.351</v>
      </c>
      <c r="D14">
        <v>1.0229999999999999</v>
      </c>
      <c r="N14" t="s">
        <v>16</v>
      </c>
      <c r="O14">
        <f t="shared" si="0"/>
        <v>0.75449999999999995</v>
      </c>
    </row>
    <row r="15" spans="1:15" x14ac:dyDescent="0.25">
      <c r="A15" t="s">
        <v>17</v>
      </c>
      <c r="B15">
        <v>1.4865999999999999</v>
      </c>
      <c r="C15">
        <v>1.351</v>
      </c>
      <c r="D15">
        <v>1.0229999999999999</v>
      </c>
      <c r="F15" s="1" t="s">
        <v>40</v>
      </c>
      <c r="G15" s="1"/>
      <c r="H15" s="1"/>
      <c r="I15" s="1"/>
      <c r="J15" s="1"/>
      <c r="K15" s="1"/>
      <c r="L15" s="1"/>
      <c r="N15" t="s">
        <v>17</v>
      </c>
      <c r="O15">
        <f t="shared" si="0"/>
        <v>22.298999999999999</v>
      </c>
    </row>
    <row r="16" spans="1:15" x14ac:dyDescent="0.25">
      <c r="A16" t="s">
        <v>18</v>
      </c>
      <c r="B16">
        <v>2.7521</v>
      </c>
      <c r="C16">
        <v>1.351</v>
      </c>
      <c r="D16">
        <v>1.022</v>
      </c>
      <c r="F16" s="1" t="s">
        <v>41</v>
      </c>
      <c r="G16" s="1"/>
      <c r="H16" t="s">
        <v>42</v>
      </c>
      <c r="I16" t="s">
        <v>43</v>
      </c>
      <c r="J16" t="s">
        <v>44</v>
      </c>
      <c r="K16" t="s">
        <v>45</v>
      </c>
      <c r="N16" t="s">
        <v>18</v>
      </c>
      <c r="O16">
        <f t="shared" si="0"/>
        <v>41.281499999999994</v>
      </c>
    </row>
    <row r="17" spans="1:15" x14ac:dyDescent="0.25">
      <c r="A17" t="s">
        <v>19</v>
      </c>
      <c r="B17">
        <v>7.0660999999999996</v>
      </c>
      <c r="C17">
        <v>1.35</v>
      </c>
      <c r="D17">
        <v>1.0229999999999999</v>
      </c>
      <c r="H17" t="s">
        <v>46</v>
      </c>
      <c r="I17" t="s">
        <v>47</v>
      </c>
      <c r="J17" t="s">
        <v>48</v>
      </c>
      <c r="K17" t="s">
        <v>49</v>
      </c>
      <c r="N17" t="s">
        <v>19</v>
      </c>
      <c r="O17">
        <f t="shared" si="0"/>
        <v>105.9915</v>
      </c>
    </row>
    <row r="18" spans="1:15" x14ac:dyDescent="0.25">
      <c r="A18" t="s">
        <v>20</v>
      </c>
      <c r="B18">
        <v>11.6036</v>
      </c>
      <c r="C18">
        <v>1.3520000000000001</v>
      </c>
      <c r="D18">
        <v>1.0229999999999999</v>
      </c>
      <c r="H18" t="s">
        <v>50</v>
      </c>
      <c r="J18" t="s">
        <v>51</v>
      </c>
      <c r="N18" t="s">
        <v>20</v>
      </c>
      <c r="O18">
        <f t="shared" si="0"/>
        <v>174.054</v>
      </c>
    </row>
    <row r="19" spans="1:15" x14ac:dyDescent="0.25">
      <c r="A19" t="s">
        <v>21</v>
      </c>
      <c r="B19">
        <v>12.900499999999999</v>
      </c>
      <c r="C19">
        <v>1.351</v>
      </c>
      <c r="D19">
        <v>1.022</v>
      </c>
      <c r="N19" t="s">
        <v>21</v>
      </c>
      <c r="O19">
        <f t="shared" si="0"/>
        <v>193.50749999999999</v>
      </c>
    </row>
    <row r="20" spans="1:15" x14ac:dyDescent="0.25">
      <c r="A20" t="s">
        <v>22</v>
      </c>
      <c r="B20">
        <v>6.9999999999999999E-4</v>
      </c>
      <c r="C20">
        <v>1.35</v>
      </c>
      <c r="D20">
        <v>1.022</v>
      </c>
      <c r="F20" t="s">
        <v>52</v>
      </c>
      <c r="I20" t="s">
        <v>53</v>
      </c>
      <c r="K20" t="s">
        <v>54</v>
      </c>
      <c r="N20" t="s">
        <v>22</v>
      </c>
      <c r="O20">
        <f t="shared" si="0"/>
        <v>1.0499999999999999E-2</v>
      </c>
    </row>
    <row r="21" spans="1:15" x14ac:dyDescent="0.25">
      <c r="A21" t="s">
        <v>23</v>
      </c>
      <c r="B21">
        <v>0.64739999999999998</v>
      </c>
      <c r="C21">
        <v>1.351</v>
      </c>
      <c r="D21">
        <v>1.0229999999999999</v>
      </c>
      <c r="G21">
        <v>2</v>
      </c>
      <c r="I21">
        <v>3</v>
      </c>
      <c r="K21">
        <v>2.5</v>
      </c>
      <c r="N21" t="s">
        <v>23</v>
      </c>
      <c r="O21">
        <f t="shared" si="0"/>
        <v>9.7110000000000003</v>
      </c>
    </row>
    <row r="22" spans="1:15" x14ac:dyDescent="0.25">
      <c r="A22" t="s">
        <v>24</v>
      </c>
      <c r="B22">
        <v>1.2836000000000001</v>
      </c>
      <c r="C22">
        <v>1.3069999999999999</v>
      </c>
      <c r="D22">
        <v>1.054</v>
      </c>
      <c r="N22" t="s">
        <v>24</v>
      </c>
      <c r="O22">
        <f t="shared" si="0"/>
        <v>19.254000000000001</v>
      </c>
    </row>
    <row r="23" spans="1:15" x14ac:dyDescent="0.25">
      <c r="A23" t="s">
        <v>25</v>
      </c>
      <c r="B23">
        <v>1.7114</v>
      </c>
      <c r="C23">
        <v>1.3080000000000001</v>
      </c>
      <c r="D23">
        <v>1.0820000000000001</v>
      </c>
      <c r="N23" t="s">
        <v>25</v>
      </c>
      <c r="O23">
        <f t="shared" si="0"/>
        <v>25.670999999999999</v>
      </c>
    </row>
    <row r="24" spans="1:15" x14ac:dyDescent="0.25">
      <c r="A24" t="s">
        <v>26</v>
      </c>
      <c r="B24">
        <v>1.8635999999999999</v>
      </c>
      <c r="C24">
        <v>1.3</v>
      </c>
      <c r="D24">
        <v>1.0900000000000001</v>
      </c>
      <c r="N24" t="s">
        <v>26</v>
      </c>
      <c r="O24">
        <f t="shared" si="0"/>
        <v>27.954000000000001</v>
      </c>
    </row>
    <row r="25" spans="1:15" x14ac:dyDescent="0.25">
      <c r="A25" t="s">
        <v>27</v>
      </c>
      <c r="B25">
        <v>2.5375000000000001</v>
      </c>
      <c r="C25">
        <v>1.3</v>
      </c>
      <c r="D25">
        <v>1.1000000000000001</v>
      </c>
      <c r="N25" t="s">
        <v>27</v>
      </c>
      <c r="O25">
        <f t="shared" si="0"/>
        <v>38.0625</v>
      </c>
    </row>
    <row r="26" spans="1:15" x14ac:dyDescent="0.25">
      <c r="A26" t="s">
        <v>28</v>
      </c>
      <c r="B26">
        <v>-5.8999999999999999E-3</v>
      </c>
      <c r="C26">
        <v>1.3</v>
      </c>
      <c r="D26">
        <v>1.06</v>
      </c>
      <c r="N26" t="s">
        <v>28</v>
      </c>
      <c r="O26">
        <f t="shared" si="0"/>
        <v>-8.8499999999999995E-2</v>
      </c>
    </row>
    <row r="27" spans="1:15" x14ac:dyDescent="0.25">
      <c r="A27" t="s">
        <v>29</v>
      </c>
      <c r="B27">
        <v>0.89439999999999997</v>
      </c>
      <c r="C27">
        <v>1.3</v>
      </c>
      <c r="D27">
        <v>1.0940000000000001</v>
      </c>
      <c r="N27" t="s">
        <v>29</v>
      </c>
      <c r="O27">
        <f t="shared" si="0"/>
        <v>13.415999999999999</v>
      </c>
    </row>
    <row r="28" spans="1:15" x14ac:dyDescent="0.25">
      <c r="A28" t="s">
        <v>30</v>
      </c>
      <c r="B28">
        <v>1.1297999999999999</v>
      </c>
      <c r="C28">
        <v>1.3</v>
      </c>
      <c r="D28">
        <v>1.087</v>
      </c>
      <c r="N28" t="s">
        <v>30</v>
      </c>
      <c r="O28">
        <f t="shared" si="0"/>
        <v>16.946999999999999</v>
      </c>
    </row>
    <row r="29" spans="1:15" x14ac:dyDescent="0.25">
      <c r="A29" t="s">
        <v>31</v>
      </c>
      <c r="B29">
        <v>1.7273000000000001</v>
      </c>
      <c r="C29">
        <v>1.3</v>
      </c>
      <c r="D29">
        <v>1.1000000000000001</v>
      </c>
      <c r="N29" t="s">
        <v>31</v>
      </c>
      <c r="O29">
        <f t="shared" si="0"/>
        <v>25.909500000000001</v>
      </c>
    </row>
    <row r="30" spans="1:15" x14ac:dyDescent="0.25">
      <c r="A30" t="s">
        <v>32</v>
      </c>
      <c r="B30">
        <v>2.0600999999999998</v>
      </c>
      <c r="C30">
        <v>1.3</v>
      </c>
      <c r="D30">
        <v>1.08</v>
      </c>
      <c r="N30" t="s">
        <v>32</v>
      </c>
      <c r="O30">
        <f t="shared" si="0"/>
        <v>30.901499999999995</v>
      </c>
    </row>
    <row r="31" spans="1:15" x14ac:dyDescent="0.25">
      <c r="A31" t="s">
        <v>33</v>
      </c>
      <c r="B31">
        <v>3.1417000000000002</v>
      </c>
      <c r="C31">
        <v>1.2589999999999999</v>
      </c>
      <c r="D31">
        <v>1.119</v>
      </c>
      <c r="N31" t="s">
        <v>33</v>
      </c>
      <c r="O31">
        <f t="shared" si="0"/>
        <v>47.125500000000002</v>
      </c>
    </row>
    <row r="32" spans="1:15" x14ac:dyDescent="0.25">
      <c r="A32" t="s">
        <v>34</v>
      </c>
      <c r="B32">
        <v>5.0700000000000002E-2</v>
      </c>
      <c r="C32">
        <v>1.35</v>
      </c>
      <c r="D32">
        <v>1.022</v>
      </c>
      <c r="N32" t="s">
        <v>34</v>
      </c>
      <c r="O32">
        <f t="shared" si="0"/>
        <v>0.76050000000000006</v>
      </c>
    </row>
    <row r="33" spans="1:15" x14ac:dyDescent="0.25">
      <c r="A33" t="s">
        <v>35</v>
      </c>
      <c r="B33">
        <v>0.87890000000000001</v>
      </c>
      <c r="C33">
        <v>1.35</v>
      </c>
      <c r="D33">
        <v>1.0229999999999999</v>
      </c>
      <c r="N33" t="s">
        <v>35</v>
      </c>
      <c r="O33">
        <f t="shared" si="0"/>
        <v>13.183500000000002</v>
      </c>
    </row>
    <row r="34" spans="1:15" x14ac:dyDescent="0.25">
      <c r="A34" t="s">
        <v>36</v>
      </c>
      <c r="B34">
        <v>1.2209000000000001</v>
      </c>
      <c r="C34">
        <v>1.3140000000000001</v>
      </c>
      <c r="D34">
        <v>1.08</v>
      </c>
      <c r="N34" t="s">
        <v>36</v>
      </c>
      <c r="O34">
        <f t="shared" si="0"/>
        <v>18.313500000000001</v>
      </c>
    </row>
    <row r="35" spans="1:15" x14ac:dyDescent="0.25">
      <c r="A35" t="s">
        <v>37</v>
      </c>
      <c r="B35">
        <v>1.7391000000000001</v>
      </c>
      <c r="C35">
        <v>1.28</v>
      </c>
      <c r="D35">
        <v>1.081</v>
      </c>
      <c r="N35" t="s">
        <v>37</v>
      </c>
      <c r="O35">
        <f t="shared" si="0"/>
        <v>26.086500000000001</v>
      </c>
    </row>
    <row r="36" spans="1:15" x14ac:dyDescent="0.25">
      <c r="A36" t="s">
        <v>38</v>
      </c>
      <c r="B36">
        <v>1.9366000000000001</v>
      </c>
      <c r="C36">
        <v>1.2809999999999999</v>
      </c>
      <c r="D36">
        <v>1.093</v>
      </c>
      <c r="N36" t="s">
        <v>38</v>
      </c>
      <c r="O36">
        <f t="shared" si="0"/>
        <v>29.048999999999999</v>
      </c>
    </row>
    <row r="37" spans="1:15" x14ac:dyDescent="0.25">
      <c r="A37" t="s">
        <v>39</v>
      </c>
      <c r="B37">
        <v>3.2772000000000001</v>
      </c>
      <c r="C37">
        <v>1.2569999999999999</v>
      </c>
      <c r="D37">
        <v>1.1200000000000001</v>
      </c>
      <c r="N37" t="s">
        <v>39</v>
      </c>
      <c r="O37">
        <f t="shared" si="0"/>
        <v>49.158000000000001</v>
      </c>
    </row>
  </sheetData>
  <mergeCells count="2">
    <mergeCell ref="F15:L15"/>
    <mergeCell ref="F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Amador-Noguez Lab</dc:creator>
  <cp:lastModifiedBy>Amador-Noguez Lab</cp:lastModifiedBy>
  <dcterms:created xsi:type="dcterms:W3CDTF">2019-01-25T22:14:25Z</dcterms:created>
  <dcterms:modified xsi:type="dcterms:W3CDTF">2019-01-25T22:15:55Z</dcterms:modified>
</cp:coreProperties>
</file>